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1c1b1de1dc4e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dger" sheetId="1" r:id="Rd3f2334b684e4dcc"/>
    <x:sheet xmlns:r="http://schemas.openxmlformats.org/officeDocument/2006/relationships" name="Dependencies" sheetId="2" r:id="R9c1bd11e599e43e4"/>
    <x:sheet xmlns:r="http://schemas.openxmlformats.org/officeDocument/2006/relationships" name="Protocol" sheetId="3" r:id="Rd0cbe528a5234c72"/>
    <x:sheet xmlns:r="http://schemas.openxmlformats.org/officeDocument/2006/relationships" name="Lists" sheetId="4" r:id="R72505ec9192c4200"/>
    <x:sheet xmlns:r="http://schemas.openxmlformats.org/officeDocument/2006/relationships" name="Summary" sheetId="5" r:id="Rc563693c9be24775"/>
    <x:sheet xmlns:r="http://schemas.openxmlformats.org/officeDocument/2006/relationships" name="Git Milestones" sheetId="6" r:id="R9fe7f9079bdf4295"/>
    <x:sheet xmlns:r="http://schemas.openxmlformats.org/officeDocument/2006/relationships" name="Git Crosslinks" sheetId="7" r:id="R38171800f83b45b0"/>
    <x:sheet xmlns:r="http://schemas.openxmlformats.org/officeDocument/2006/relationships" name="Repo Summary" sheetId="8" r:id="R65d4b0c6810f4320"/>
    <x:sheet xmlns:r="http://schemas.openxmlformats.org/officeDocument/2006/relationships" name="Git Summary" sheetId="9" r:id="R96b41283686d4797"/>
    <x:sheet xmlns:r="http://schemas.openxmlformats.org/officeDocument/2006/relationships" name="Methodology Lineage" sheetId="10" r:id="Re6140ee9097041bc"/>
    <x:sheet xmlns:r="http://schemas.openxmlformats.org/officeDocument/2006/relationships" name="Public Reach" sheetId="11" r:id="R5c931e6a0a4746ab"/>
    <x:sheet xmlns:r="http://schemas.openxmlformats.org/officeDocument/2006/relationships" name="Major Public Milestones" sheetId="12" r:id="Rfe6a9d0f5cc14b4e"/>
    <x:sheet xmlns:r="http://schemas.openxmlformats.org/officeDocument/2006/relationships" name="Master Evidence" sheetId="13" r:id="R0d8d8d3460d34792"/>
    <x:sheet xmlns:r="http://schemas.openxmlformats.org/officeDocument/2006/relationships" name="Legacy CF Index" sheetId="14" r:id="Rbaac3d68540241bf"/>
    <x:sheet xmlns:r="http://schemas.openxmlformats.org/officeDocument/2006/relationships" name="Source Artifacts" sheetId="15" r:id="R101cc555b0ec42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9"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01f4f988d540c4" /><Relationship Type="http://schemas.openxmlformats.org/officeDocument/2006/relationships/theme" Target="/xl/theme/theme1.xml" Id="R6795fe06f2df41e6" /><Relationship Type="http://schemas.openxmlformats.org/officeDocument/2006/relationships/sharedStrings" Target="/xl/sharedStrings.xml" Id="R08c3d6115165414d" /><Relationship Type="http://schemas.openxmlformats.org/officeDocument/2006/relationships/worksheet" Target="/xl/worksheets/sheet1.xml" Id="Rd3f2334b684e4dcc" /><Relationship Type="http://schemas.openxmlformats.org/officeDocument/2006/relationships/worksheet" Target="/xl/worksheets/sheet2.xml" Id="R9c1bd11e599e43e4" /><Relationship Type="http://schemas.openxmlformats.org/officeDocument/2006/relationships/worksheet" Target="/xl/worksheets/sheet3.xml" Id="Rd0cbe528a5234c72" /><Relationship Type="http://schemas.openxmlformats.org/officeDocument/2006/relationships/worksheet" Target="/xl/worksheets/sheet4.xml" Id="R72505ec9192c4200" /><Relationship Type="http://schemas.openxmlformats.org/officeDocument/2006/relationships/worksheet" Target="/xl/worksheets/sheet5.xml" Id="Rc563693c9be24775" /><Relationship Type="http://schemas.openxmlformats.org/officeDocument/2006/relationships/worksheet" Target="/xl/worksheets/sheet6.xml" Id="R9fe7f9079bdf4295" /><Relationship Type="http://schemas.openxmlformats.org/officeDocument/2006/relationships/worksheet" Target="/xl/worksheets/sheet7.xml" Id="R38171800f83b45b0" /><Relationship Type="http://schemas.openxmlformats.org/officeDocument/2006/relationships/worksheet" Target="/xl/worksheets/sheet8.xml" Id="R65d4b0c6810f4320" /><Relationship Type="http://schemas.openxmlformats.org/officeDocument/2006/relationships/worksheet" Target="/xl/worksheets/sheet9.xml" Id="R96b41283686d4797" /><Relationship Type="http://schemas.openxmlformats.org/officeDocument/2006/relationships/worksheet" Target="/xl/worksheets/sheet10.xml" Id="Re6140ee9097041bc" /><Relationship Type="http://schemas.openxmlformats.org/officeDocument/2006/relationships/worksheet" Target="/xl/worksheets/sheet11.xml" Id="R5c931e6a0a4746ab" /><Relationship Type="http://schemas.openxmlformats.org/officeDocument/2006/relationships/worksheet" Target="/xl/worksheets/sheet12.xml" Id="Rfe6a9d0f5cc14b4e" /><Relationship Type="http://schemas.openxmlformats.org/officeDocument/2006/relationships/worksheet" Target="/xl/worksheets/sheet13.xml" Id="R0d8d8d3460d34792" /><Relationship Type="http://schemas.openxmlformats.org/officeDocument/2006/relationships/worksheet" Target="/xl/worksheets/sheet14.xml" Id="Rbaac3d68540241bf" /><Relationship Type="http://schemas.openxmlformats.org/officeDocument/2006/relationships/worksheet" Target="/xl/worksheets/sheet15.xml" Id="R101cc555b0ec42e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bf0f1277fc94c6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eeabc2fe10d44e2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Ledger entries by status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'Summary'!$A$10:$A$18</c:f>
              <c:strCache>
                <c:ptCount val="0"/>
              </c:strCache>
            </c:strRef>
          </c:cat>
          <c:val>
            <c:numRef>
              <c:f>'Summary'!$B$10:$B$18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Selected major Git milestones by repository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Milestones</c:v>
          </c:tx>
          <c:cat>
            <c:strRef>
              <c:f>'Git Summary'!$D$4:$D$9</c:f>
              <c:strCache>
                <c:ptCount val="0"/>
              </c:strCache>
            </c:strRef>
          </c:cat>
          <c:val>
            <c:numRef>
              <c:f>'Git Summary'!$E$4:$E$9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2</xdr:row>
      <xdr:rowOff>0</xdr:rowOff>
    </xdr:from>
    <xdr:to>
      <xdr:col>11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bf0f1277fc94c6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abc2fe10d44e2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rovenanceLedger" displayName="ProvenanceLedger" ref="A1:T19" headerRowCount="1" totalsRowCount="0" totalsRowShown="0">
  <x:tableColumns count="20">
    <x:tableColumn id="1" name="Entry_ID"/>
    <x:tableColumn id="2" name="Event_Date"/>
    <x:tableColumn id="3" name="Recorded_Date"/>
    <x:tableColumn id="4" name="Workstream"/>
    <x:tableColumn id="5" name="Artifact"/>
    <x:tableColumn id="6" name="Version"/>
    <x:tableColumn id="7" name="Entry_Type"/>
    <x:tableColumn id="8" name="Status"/>
    <x:tableColumn id="9" name="Claim_or_Result"/>
    <x:tableColumn id="10" name="Direct_Preconditions"/>
    <x:tableColumn id="11" name="Dependency_IDs"/>
    <x:tableColumn id="12" name="Invariant_Earned_or_Changed"/>
    <x:tableColumn id="13" name="Falsifier_or_Rejected_Alternative"/>
    <x:tableColumn id="14" name="Supersedes_or_Corrects"/>
    <x:tableColumn id="15" name="Downstream_License"/>
    <x:tableColumn id="16" name="Evidence_Anchor"/>
    <x:tableColumn id="17" name="Public_ID_DOI_Commit"/>
    <x:tableColumn id="18" name="Content_SHA256"/>
    <x:tableColumn id="19" name="Verification"/>
    <x:tableColumn id="20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pendencyEdges" displayName="DependencyEdges" ref="A1:D15" headerRowCount="1" totalsRowCount="0" totalsRowShown="0">
  <x:tableColumns count="4">
    <x:tableColumn id="1" name="From_Entry_ID"/>
    <x:tableColumn id="2" name="To_Entry_ID"/>
    <x:tableColumn id="3" name="Relationship"/>
    <x:tableColumn id="4" name="Basi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GitMilestonesTable" displayName="GitMilestonesTable" ref="A1:P46" headerRowCount="1" totalsRowCount="0" totalsRowShown="0">
  <x:tableColumns count="16">
    <x:tableColumn id="1" name="Git_ID"/>
    <x:tableColumn id="2" name="Repo"/>
    <x:tableColumn id="3" name="Owner"/>
    <x:tableColumn id="4" name="Commit_Date"/>
    <x:tableColumn id="5" name="Full_SHA"/>
    <x:tableColumn id="6" name="Short_SHA"/>
    <x:tableColumn id="7" name="Commit_Message"/>
    <x:tableColumn id="8" name="Milestone_Class"/>
    <x:tableColumn id="9" name="Evidence_Grade"/>
    <x:tableColumn id="10" name="Provenance_Significance"/>
    <x:tableColumn id="11" name="Existing_Ledger_Crosslink"/>
    <x:tableColumn id="12" name="Correction_or_Rejection"/>
    <x:tableColumn id="13" name="Commit_URL"/>
    <x:tableColumn id="14" name="Web_Source_Ref"/>
    <x:tableColumn id="15" name="Selection_Basis"/>
    <x:tableColumn id="16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itCrosslinksTable" displayName="GitCrosslinksTable" ref="A1:D23" headerRowCount="1" totalsRowCount="0" totalsRowShown="0">
  <x:tableColumns count="4">
    <x:tableColumn id="1" name="Git_ID"/>
    <x:tableColumn id="2" name="Existing_Entry_ID"/>
    <x:tableColumn id="3" name="Relationship"/>
    <x:tableColumn id="4" name="Rational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poSummaryTable" displayName="RepoSummaryTable" ref="A1:J7" headerRowCount="1" totalsRowCount="0" totalsRowShown="0">
  <x:tableColumns count="10">
    <x:tableColumn id="1" name="Repo"/>
    <x:tableColumn id="2" name="URL"/>
    <x:tableColumn id="3" name="History_Status"/>
    <x:tableColumn id="4" name="Visible_Commit_Count"/>
    <x:tableColumn id="5" name="Earliest_Selected"/>
    <x:tableColumn id="6" name="Latest_Selected"/>
    <x:tableColumn id="7" name="Milestones_Selected"/>
    <x:tableColumn id="8" name="Provenance_Role"/>
    <x:tableColumn id="9" name="Coverage_Notes"/>
    <x:tableColumn id="10" name="Sour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ethodologyLineageTable" displayName="MethodologyLineageTable" ref="A1:K3" headerRowCount="1" totalsRowCount="0" totalsRowShown="0">
  <x:tableColumns count="11">
    <x:tableColumn id="1" name="Method_ID"/>
    <x:tableColumn id="2" name="Sequence"/>
    <x:tableColumn id="3" name="Environment_or_Project"/>
    <x:tableColumn id="4" name="Method_or_System"/>
    <x:tableColumn id="5" name="Relationship"/>
    <x:tableColumn id="6" name="What_Changed"/>
    <x:tableColumn id="7" name="Provenance_Status"/>
    <x:tableColumn id="8" name="Event_Date"/>
    <x:tableColumn id="9" name="Git_or_Artifact_Link"/>
    <x:tableColumn id="10" name="Downstream_Consequence"/>
    <x:tableColumn id="11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1b1d7b9fb914d7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779f7d5b17549e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1e2df59d1be644d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b6631fd20199465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4.xml" Id="Ra8526bc0364c42a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625d3c386e4f499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2.xml" Id="R739ca5b6a73a448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9f45d0d428134541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3" hidden="0" customWidth="1"/>
    <x:col min="3" max="3" width="13" hidden="0" customWidth="1"/>
    <x:col min="4" max="4" width="22" hidden="0" customWidth="1"/>
    <x:col min="5" max="5" width="34" hidden="0" customWidth="1"/>
    <x:col min="6" max="6" width="13" hidden="0" customWidth="1"/>
    <x:col min="7" max="7" width="18" hidden="0" customWidth="1"/>
    <x:col min="8" max="8" width="18" hidden="0" customWidth="1"/>
    <x:col min="9" max="9" width="48" hidden="0" customWidth="1"/>
    <x:col min="10" max="10" width="22" hidden="0" customWidth="1"/>
    <x:col min="11" max="11" width="22" hidden="0" customWidth="1"/>
    <x:col min="12" max="12" width="40" hidden="0" customWidth="1"/>
    <x:col min="13" max="13" width="36" hidden="0" customWidth="1"/>
    <x:col min="14" max="14" width="36" hidden="0" customWidth="1"/>
    <x:col min="15" max="15" width="42" hidden="0" customWidth="1"/>
    <x:col min="16" max="16" width="30" hidden="0" customWidth="1"/>
    <x:col min="17" max="17" width="24" hidden="0" customWidth="1"/>
    <x:col min="18" max="18" width="24" hidden="0" customWidth="1"/>
    <x:col min="19" max="19" width="20" hidden="0" customWidth="1"/>
    <x:col min="20" max="20" width="42" hidden="0" customWidth="1"/>
  </x:cols>
  <x:sheetData>
    <x:row r="1">
      <x:c r="A1" s="10" t="str">
        <x:v>Entry_ID</x:v>
      </x:c>
      <x:c r="B1" s="10" t="str">
        <x:v>Event_Date</x:v>
      </x:c>
      <x:c r="C1" s="10" t="str">
        <x:v>Recorded_Date</x:v>
      </x:c>
      <x:c r="D1" s="10" t="str">
        <x:v>Workstream</x:v>
      </x:c>
      <x:c r="E1" s="10" t="str">
        <x:v>Artifact</x:v>
      </x:c>
      <x:c r="F1" s="10" t="str">
        <x:v>Version</x:v>
      </x:c>
      <x:c r="G1" s="10" t="str">
        <x:v>Entry_Type</x:v>
      </x:c>
      <x:c r="H1" s="10" t="str">
        <x:v>Status</x:v>
      </x:c>
      <x:c r="I1" s="10" t="str">
        <x:v>Claim_or_Result</x:v>
      </x:c>
      <x:c r="J1" s="10" t="str">
        <x:v>Direct_Preconditions</x:v>
      </x:c>
      <x:c r="K1" s="10" t="str">
        <x:v>Dependency_IDs</x:v>
      </x:c>
      <x:c r="L1" s="10" t="str">
        <x:v>Invariant_Earned_or_Changed</x:v>
      </x:c>
      <x:c r="M1" s="10" t="str">
        <x:v>Falsifier_or_Rejected_Alternative</x:v>
      </x:c>
      <x:c r="N1" s="10" t="str">
        <x:v>Supersedes_or_Corrects</x:v>
      </x:c>
      <x:c r="O1" s="10" t="str">
        <x:v>Downstream_License</x:v>
      </x:c>
      <x:c r="P1" s="10" t="str">
        <x:v>Evidence_Anchor</x:v>
      </x:c>
      <x:c r="Q1" s="10" t="str">
        <x:v>Public_ID_DOI_Commit</x:v>
      </x:c>
      <x:c r="R1" s="10" t="str">
        <x:v>Content_SHA256</x:v>
      </x:c>
      <x:c r="S1" s="10" t="str">
        <x:v>Verification</x:v>
      </x:c>
      <x:c r="T1" s="10" t="str">
        <x:v>Notes</x:v>
      </x:c>
    </x:row>
    <x:row r="2">
      <x:c r="A2" s="11" t="str">
        <x:v>PC-0001</x:v>
      </x:c>
      <x:c r="B2" s="14"/>
      <x:c r="C2" s="14" t="str">
        <x:v>2026-09-07</x:v>
      </x:c>
      <x:c r="D2" s="11" t="str">
        <x:v>Foundations</x:v>
      </x:c>
      <x:c r="E2" s="11" t="str">
        <x:v>CF000</x:v>
      </x:c>
      <x:c r="F2" s="11" t="str"/>
      <x:c r="G2" s="11" t="str">
        <x:v>THEOREM/FOUNDATION</x:v>
      </x:c>
      <x:c r="H2" s="11" t="str">
        <x:v>DERIVED</x:v>
      </x:c>
      <x:c r="I2" s="11" t="str">
        <x:v>Primitive condition: distinguishability, non-discharge, continued same-axis articulation, saturation, forced orthogonal extension, inheritance/invariant stacking.</x:v>
      </x:c>
      <x:c r="J2" s="11" t="str"/>
      <x:c r="K2" s="11" t="str"/>
      <x:c r="L2" s="11" t="str">
        <x:v>Primitive articulation / saturation conditions established.</x:v>
      </x:c>
      <x:c r="M2" s="11" t="str"/>
      <x:c r="N2" s="11" t="str"/>
      <x:c r="O2" s="11" t="str">
        <x:v>Licenses later Farey excavation and retained-state construction.</x:v>
      </x:c>
      <x:c r="P2" s="11" t="str">
        <x:v>Chronology(1).md:L3-L9</x:v>
      </x:c>
      <x:c r="Q2" s="11" t="str"/>
      <x:c r="R2" s="11" t="str"/>
      <x:c r="S2" s="11" t="str">
        <x:v>SOURCE-DOCUMENTED</x:v>
      </x:c>
      <x:c r="T2" s="11" t="str">
        <x:v>Source chronology does not state the CF000 publication date.</x:v>
      </x:c>
    </x:row>
    <x:row r="3">
      <x:c r="A3" s="11" t="str">
        <x:v>PC-0002</x:v>
      </x:c>
      <x:c r="B3" s="14" t="str">
        <x:v>2026-03-24</x:v>
      </x:c>
      <x:c r="C3" s="14" t="str">
        <x:v>2026-09-07</x:v>
      </x:c>
      <x:c r="D3" s="11" t="str">
        <x:v>Farey / Infinity Resolution</x:v>
      </x:c>
      <x:c r="E3" s="11" t="str">
        <x:v>Farey Remainder Recursion and Orthogonal Re-Articulation: An Exact Infinity-Resolution Theorem</x:v>
      </x:c>
      <x:c r="F3" s="11" t="str">
        <x:v>v0.1</x:v>
      </x:c>
      <x:c r="G3" s="11" t="str">
        <x:v>THEOREM</x:v>
      </x:c>
      <x:c r="H3" s="11" t="str">
        <x:v>PUBLISHED</x:v>
      </x:c>
      <x:c r="I3" s="11" t="str">
        <x:v>First deliberate mathematical excavation of CF000: balanced refinement, exact carried remainder, finite-resolution stopping, orthogonal re-articulation.</x:v>
      </x:c>
      <x:c r="J3" s="11" t="str">
        <x:v>PC-0001</x:v>
      </x:c>
      <x:c r="K3" s="11" t="str">
        <x:v>PC-0001</x:v>
      </x:c>
      <x:c r="L3" s="11" t="str">
        <x:v>Balanced refinement and exact carried remainder.</x:v>
      </x:c>
      <x:c r="M3" s="11" t="str"/>
      <x:c r="N3" s="11" t="str"/>
      <x:c r="O3" s="11" t="str">
        <x:v>Licenses state-complete assembly attempted in CF19.</x:v>
      </x:c>
      <x:c r="P3" s="11" t="str">
        <x:v>Chronology(1).md:L11-L18</x:v>
      </x:c>
      <x:c r="Q3" s="11" t="str"/>
      <x:c r="R3" s="11" t="str"/>
      <x:c r="S3" s="11" t="str">
        <x:v>SOURCE-DOCUMENTED</x:v>
      </x:c>
      <x:c r="T3" s="11" t="str"/>
    </x:row>
    <x:row r="4">
      <x:c r="A4" s="11" t="str">
        <x:v>PC-0003</x:v>
      </x:c>
      <x:c r="B4" s="14" t="str">
        <x:v>2026-03-27</x:v>
      </x:c>
      <x:c r="C4" s="14" t="str">
        <x:v>2026-09-07</x:v>
      </x:c>
      <x:c r="D4" s="11" t="str">
        <x:v>Lifted Object</x:v>
      </x:c>
      <x:c r="E4" s="11" t="str">
        <x:v>CF19: The Full Lifted Object of the Primitive Roll and Exact Return to Lifted Origin</x:v>
      </x:c>
      <x:c r="F4" s="11" t="str">
        <x:v>v0.1</x:v>
      </x:c>
      <x:c r="G4" s="11" t="str">
        <x:v>CONSTRUCTION</x:v>
      </x:c>
      <x:c r="H4" s="11" t="str">
        <x:v>PUBLISHED</x:v>
      </x:c>
      <x:c r="I4" s="11" t="str">
        <x:v>First attempt to assemble a state-complete mathematical object from structures exposed by CF000 + Farey.</x:v>
      </x:c>
      <x:c r="J4" s="11" t="str">
        <x:v>PC-0001;PC-0002</x:v>
      </x:c>
      <x:c r="K4" s="11" t="str">
        <x:v>PC-0001;PC-0002</x:v>
      </x:c>
      <x:c r="L4" s="11" t="str">
        <x:v>State-complete lifted-object program.</x:v>
      </x:c>
      <x:c r="M4" s="11" t="str"/>
      <x:c r="N4" s="11" t="str"/>
      <x:c r="O4" s="11" t="str">
        <x:v>Licenses broader lifted-state operator development.</x:v>
      </x:c>
      <x:c r="P4" s="11" t="str">
        <x:v>Chronology(1).md:L20-L25</x:v>
      </x:c>
      <x:c r="Q4" s="11" t="str"/>
      <x:c r="R4" s="11" t="str"/>
      <x:c r="S4" s="11" t="str">
        <x:v>SOURCE-DOCUMENTED</x:v>
      </x:c>
      <x:c r="T4" s="11" t="str"/>
    </x:row>
    <x:row r="5">
      <x:c r="A5" s="11" t="str">
        <x:v>PC-0004</x:v>
      </x:c>
      <x:c r="B5" s="14" t="str">
        <x:v>2026-04-06</x:v>
      </x:c>
      <x:c r="C5" s="14" t="str">
        <x:v>2026-09-07</x:v>
      </x:c>
      <x:c r="D5" s="11" t="str">
        <x:v>Phase Calculus Core</x:v>
      </x:c>
      <x:c r="E5" s="11" t="str">
        <x:v>Phase Calculus - Lifted-State Operator Calculus of the Primitive Roll with Connection Closure and Shadow/Completion Branch</x:v>
      </x:c>
      <x:c r="F5" s="11" t="str">
        <x:v>v1</x:v>
      </x:c>
      <x:c r="G5" s="11" t="str">
        <x:v>FRAMEWORK</x:v>
      </x:c>
      <x:c r="H5" s="11" t="str">
        <x:v>PUBLISHED</x:v>
      </x:c>
      <x:c r="I5" s="11" t="str">
        <x:v>Broader Phase Calculus development: lifted-state operator calculus, connection closure, shadow/completion branch.</x:v>
      </x:c>
      <x:c r="J5" s="11" t="str">
        <x:v>PC-0003</x:v>
      </x:c>
      <x:c r="K5" s="11" t="str">
        <x:v>PC-0003</x:v>
      </x:c>
      <x:c r="L5" s="11" t="str">
        <x:v>Lifted-state operator core enters explicit Phase Calculus form.</x:v>
      </x:c>
      <x:c r="M5" s="11" t="str"/>
      <x:c r="N5" s="11" t="str"/>
      <x:c r="O5" s="11" t="str">
        <x:v>Licenses later quotient descent, completion/shadow machinery, and testing.</x:v>
      </x:c>
      <x:c r="P5" s="11" t="str">
        <x:v>Chronology(1).md:L27-L35</x:v>
      </x:c>
      <x:c r="Q5" s="11" t="str"/>
      <x:c r="R5" s="11" t="str"/>
      <x:c r="S5" s="11" t="str">
        <x:v>SOURCE-DOCUMENTED</x:v>
      </x:c>
      <x:c r="T5" s="11" t="str">
        <x:v>Chronology also records a 2026-04-07 instance.</x:v>
      </x:c>
    </x:row>
    <x:row r="6">
      <x:c r="A6" s="11" t="str">
        <x:v>PC-0005</x:v>
      </x:c>
      <x:c r="B6" s="14" t="str">
        <x:v>2026-04-10</x:v>
      </x:c>
      <x:c r="C6" s="14" t="str">
        <x:v>2026-09-07</x:v>
      </x:c>
      <x:c r="D6" s="11" t="str">
        <x:v>Phase Calculus Core</x:v>
      </x:c>
      <x:c r="E6" s="11" t="str">
        <x:v>Phase Calculus - Lifted-State Operator Calculus…</x:v>
      </x:c>
      <x:c r="F6" s="11" t="str">
        <x:v>v11.1</x:v>
      </x:c>
      <x:c r="G6" s="11" t="str">
        <x:v>FRAMEWORK</x:v>
      </x:c>
      <x:c r="H6" s="11" t="str">
        <x:v>PUBLISHED</x:v>
      </x:c>
      <x:c r="I6" s="11" t="str">
        <x:v>Further developed lifted-state operator calculus.</x:v>
      </x:c>
      <x:c r="J6" s="11" t="str">
        <x:v>PC-0004</x:v>
      </x:c>
      <x:c r="K6" s="11" t="str">
        <x:v>PC-0004</x:v>
      </x:c>
      <x:c r="L6" s="11" t="str">
        <x:v>Operator core refinement.</x:v>
      </x:c>
      <x:c r="M6" s="11" t="str"/>
      <x:c r="N6" s="11" t="str"/>
      <x:c r="O6" s="11" t="str">
        <x:v>Feeds quotient descent and broader Phase Calculus testing.</x:v>
      </x:c>
      <x:c r="P6" s="11" t="str">
        <x:v>Chronology(1).md:L27-L35</x:v>
      </x:c>
      <x:c r="Q6" s="11" t="str"/>
      <x:c r="R6" s="11" t="str"/>
      <x:c r="S6" s="11" t="str">
        <x:v>SOURCE-DOCUMENTED</x:v>
      </x:c>
      <x:c r="T6" s="11" t="str"/>
    </x:row>
    <x:row r="7">
      <x:c r="A7" s="11" t="str">
        <x:v>PC-0006</x:v>
      </x:c>
      <x:c r="B7" s="14" t="str">
        <x:v>2026-04-21</x:v>
      </x:c>
      <x:c r="C7" s="14" t="str">
        <x:v>2026-09-07</x:v>
      </x:c>
      <x:c r="D7" s="11" t="str">
        <x:v>Quotient Descent</x:v>
      </x:c>
      <x:c r="E7" s="11" t="str">
        <x:v>Quotient Descent and the EML Operator: Why Continuous Composites Are Not Primitives</x:v>
      </x:c>
      <x:c r="F7" s="11" t="str">
        <x:v>v0.1-v1.5</x:v>
      </x:c>
      <x:c r="G7" s="11" t="str">
        <x:v>THEOREM/OPERATOR</x:v>
      </x:c>
      <x:c r="H7" s="11" t="str">
        <x:v>PUBLISHED</x:v>
      </x:c>
      <x:c r="I7" s="11" t="str">
        <x:v>Quotient descent and EML operator development.</x:v>
      </x:c>
      <x:c r="J7" s="11" t="str">
        <x:v>PC-0004;PC-0005</x:v>
      </x:c>
      <x:c r="K7" s="11" t="str">
        <x:v>PC-0004;PC-0005</x:v>
      </x:c>
      <x:c r="L7" s="11" t="str">
        <x:v>Quotient descent becomes an explicit operator-level mechanism.</x:v>
      </x:c>
      <x:c r="M7" s="11" t="str"/>
      <x:c r="N7" s="11" t="str"/>
      <x:c r="O7" s="11" t="str">
        <x:v>Feeds later cross-domain quotient applications.</x:v>
      </x:c>
      <x:c r="P7" s="11" t="str">
        <x:v>Chronology(1).md:L33-L38</x:v>
      </x:c>
      <x:c r="Q7" s="11" t="str"/>
      <x:c r="R7" s="11" t="str"/>
      <x:c r="S7" s="11" t="str">
        <x:v>SOURCE-DOCUMENTED</x:v>
      </x:c>
      <x:c r="T7" s="11" t="str">
        <x:v>Chronology gives date range 2026-04-21 to 2026-04-22.</x:v>
      </x:c>
    </x:row>
    <x:row r="8">
      <x:c r="A8" s="11" t="str">
        <x:v>PC-0007</x:v>
      </x:c>
      <x:c r="B8" s="14" t="str">
        <x:v>2026-04-24</x:v>
      </x:c>
      <x:c r="C8" s="14" t="str">
        <x:v>2026-09-07</x:v>
      </x:c>
      <x:c r="D8" s="11" t="str">
        <x:v>Cross-domain Test</x:v>
      </x:c>
      <x:c r="E8" s="11" t="str">
        <x:v>Unified Quintic: Lifted Quintic Transport, Red-Filter Quotient Descent, and Immediate Root Certification</x:v>
      </x:c>
      <x:c r="F8" s="11" t="str">
        <x:v>v1.4.2</x:v>
      </x:c>
      <x:c r="G8" s="11" t="str">
        <x:v>APPLICATION</x:v>
      </x:c>
      <x:c r="H8" s="11" t="str">
        <x:v>PUBLISHED</x:v>
      </x:c>
      <x:c r="I8" s="11" t="str">
        <x:v>Applies lifted transport and quotient descent to quintic/root certification.</x:v>
      </x:c>
      <x:c r="J8" s="11" t="str">
        <x:v>PC-0006</x:v>
      </x:c>
      <x:c r="K8" s="11" t="str">
        <x:v>PC-0006</x:v>
      </x:c>
      <x:c r="L8" s="11" t="str">
        <x:v>Cross-domain use of quotient descent before later physical applications.</x:v>
      </x:c>
      <x:c r="M8" s="11" t="str"/>
      <x:c r="N8" s="11" t="str"/>
      <x:c r="O8" s="11" t="str">
        <x:v>Provides downstream evidence that quotient machinery was not invented for one target.</x:v>
      </x:c>
      <x:c r="P8" s="11" t="str">
        <x:v>Chronology(1).md:L36-L38</x:v>
      </x:c>
      <x:c r="Q8" s="11" t="str"/>
      <x:c r="R8" s="11" t="str"/>
      <x:c r="S8" s="11" t="str">
        <x:v>SOURCE-DOCUMENTED</x:v>
      </x:c>
      <x:c r="T8" s="11" t="str"/>
    </x:row>
    <x:row r="9">
      <x:c r="A9" s="11" t="str">
        <x:v>PC-0008</x:v>
      </x:c>
      <x:c r="B9" s="14" t="str">
        <x:v>2026-04-24</x:v>
      </x:c>
      <x:c r="C9" s="14" t="str">
        <x:v>2026-09-07</x:v>
      </x:c>
      <x:c r="D9" s="11" t="str">
        <x:v>Monodromy / Memory</x:v>
      </x:c>
      <x:c r="E9" s="11" t="str">
        <x:v>Monodromy as Memory: Quotient Commutation Is Not Quotient Injectivity</x:v>
      </x:c>
      <x:c r="F9" s="11" t="str">
        <x:v>v0.1</x:v>
      </x:c>
      <x:c r="G9" s="11" t="str">
        <x:v>THEOREM</x:v>
      </x:c>
      <x:c r="H9" s="11" t="str">
        <x:v>PUBLISHED</x:v>
      </x:c>
      <x:c r="I9" s="11" t="str">
        <x:v>Makes branch/history information and non-injective visible projection explicit in monodromy language.</x:v>
      </x:c>
      <x:c r="J9" s="11" t="str">
        <x:v>PC-0004;PC-0006</x:v>
      </x:c>
      <x:c r="K9" s="11" t="str">
        <x:v>PC-0004;PC-0006</x:v>
      </x:c>
      <x:c r="L9" s="11" t="str">
        <x:v>Projection can commute while losing lifted history.</x:v>
      </x:c>
      <x:c r="M9" s="11" t="str"/>
      <x:c r="N9" s="11" t="str"/>
      <x:c r="O9" s="11" t="str">
        <x:v>Supports later retained-history and Orthad development.</x:v>
      </x:c>
      <x:c r="P9" s="11" t="str">
        <x:v>Chronology(1).md:L36-L38</x:v>
      </x:c>
      <x:c r="Q9" s="11" t="str"/>
      <x:c r="R9" s="11" t="str"/>
      <x:c r="S9" s="11" t="str">
        <x:v>SOURCE-DOCUMENTED</x:v>
      </x:c>
      <x:c r="T9" s="11" t="str"/>
    </x:row>
    <x:row r="10">
      <x:c r="A10" s="11" t="str">
        <x:v>PC-0009</x:v>
      </x:c>
      <x:c r="B10" s="14" t="str">
        <x:v>2026-04-24</x:v>
      </x:c>
      <x:c r="C10" s="14" t="str">
        <x:v>2026-09-07</x:v>
      </x:c>
      <x:c r="D10" s="11" t="str">
        <x:v>Phase Calculus Core</x:v>
      </x:c>
      <x:c r="E10" s="11" t="str">
        <x:v>Phase Calculus as Universal Exact Grammar for Branching Structures</x:v>
      </x:c>
      <x:c r="F10" s="11" t="str">
        <x:v>v0.1</x:v>
      </x:c>
      <x:c r="G10" s="11" t="str">
        <x:v>FRAMEWORK</x:v>
      </x:c>
      <x:c r="H10" s="11" t="str">
        <x:v>PUBLISHED</x:v>
      </x:c>
      <x:c r="I10" s="11" t="str">
        <x:v>Broad universal-exact-grammar formulation of Phase Calculus.</x:v>
      </x:c>
      <x:c r="J10" s="11" t="str">
        <x:v>PC-0004;PC-0005</x:v>
      </x:c>
      <x:c r="K10" s="11" t="str">
        <x:v>PC-0004;PC-0005</x:v>
      </x:c>
      <x:c r="L10" s="11" t="str">
        <x:v>Branching grammar generalized beyond the initial construction.</x:v>
      </x:c>
      <x:c r="M10" s="11" t="str"/>
      <x:c r="N10" s="11" t="str"/>
      <x:c r="O10" s="11" t="str">
        <x:v>Feeds later state-complete and Orthad work.</x:v>
      </x:c>
      <x:c r="P10" s="11" t="str">
        <x:v>Chronology(1).md:L27-L31</x:v>
      </x:c>
      <x:c r="Q10" s="11" t="str"/>
      <x:c r="R10" s="11" t="str"/>
      <x:c r="S10" s="11" t="str">
        <x:v>SOURCE-DOCUMENTED</x:v>
      </x:c>
      <x:c r="T10" s="11" t="str"/>
    </x:row>
    <x:row r="11">
      <x:c r="A11" s="11" t="str">
        <x:v>PC-0010</x:v>
      </x:c>
      <x:c r="B11" s="14" t="str">
        <x:v>2026-04-25</x:v>
      </x:c>
      <x:c r="C11" s="14" t="str">
        <x:v>2026-09-07</x:v>
      </x:c>
      <x:c r="D11" s="11" t="str">
        <x:v>State-Complete Inversion</x:v>
      </x:c>
      <x:c r="E11" s="11" t="str">
        <x:v>The Transcendental Wall: State-Complete Inversion and Liouvillian Closure in Phase Calculus</x:v>
      </x:c>
      <x:c r="F11" s="11" t="str">
        <x:v>v0.1</x:v>
      </x:c>
      <x:c r="G11" s="11" t="str">
        <x:v>THEOREM/APPLICATION</x:v>
      </x:c>
      <x:c r="H11" s="11" t="str">
        <x:v>PUBLISHED</x:v>
      </x:c>
      <x:c r="I11" s="11" t="str">
        <x:v>Develops state-complete inversion and Liouvillian closure.</x:v>
      </x:c>
      <x:c r="J11" s="11" t="str">
        <x:v>PC-0004;PC-0005;PC-0006</x:v>
      </x:c>
      <x:c r="K11" s="11" t="str">
        <x:v>PC-0004;PC-0005;PC-0006</x:v>
      </x:c>
      <x:c r="L11" s="11" t="str">
        <x:v>State-complete inversion becomes explicit.</x:v>
      </x:c>
      <x:c r="M11" s="11" t="str"/>
      <x:c r="N11" s="11" t="str"/>
      <x:c r="O11" s="11" t="str">
        <x:v>Supports later retained-state sufficiency arguments.</x:v>
      </x:c>
      <x:c r="P11" s="11" t="str">
        <x:v>Chronology(1).md:L27-L31</x:v>
      </x:c>
      <x:c r="Q11" s="11" t="str"/>
      <x:c r="R11" s="11" t="str"/>
      <x:c r="S11" s="11" t="str">
        <x:v>SOURCE-DOCUMENTED</x:v>
      </x:c>
      <x:c r="T11" s="11" t="str"/>
    </x:row>
    <x:row r="12">
      <x:c r="A12" s="11" t="str">
        <x:v>PC-0011</x:v>
      </x:c>
      <x:c r="B12" s="14" t="str">
        <x:v>2026-04-30</x:v>
      </x:c>
      <x:c r="C12" s="14" t="str">
        <x:v>2026-09-07</x:v>
      </x:c>
      <x:c r="D12" s="11" t="str">
        <x:v>Monodromy / Transport</x:v>
      </x:c>
      <x:c r="E12" s="11" t="str">
        <x:v>Retained Loop Projection and Branch-History Monodromy in Transdimensional Anomalous Hall Transport</x:v>
      </x:c>
      <x:c r="F12" s="11" t="str">
        <x:v>v0.1</x:v>
      </x:c>
      <x:c r="G12" s="11" t="str">
        <x:v>APPLICATION</x:v>
      </x:c>
      <x:c r="H12" s="11" t="str">
        <x:v>PUBLISHED</x:v>
      </x:c>
      <x:c r="I12" s="11" t="str">
        <x:v>Applies retained loop projection and branch-history monodromy in another physical domain.</x:v>
      </x:c>
      <x:c r="J12" s="11" t="str">
        <x:v>PC-0008</x:v>
      </x:c>
      <x:c r="K12" s="11" t="str">
        <x:v>PC-0008</x:v>
      </x:c>
      <x:c r="L12" s="11" t="str">
        <x:v>Branch-history retention demonstrated downstream.</x:v>
      </x:c>
      <x:c r="M12" s="11" t="str"/>
      <x:c r="N12" s="11" t="str"/>
      <x:c r="O12" s="11" t="str">
        <x:v>Further constrains later retained-state interpretations.</x:v>
      </x:c>
      <x:c r="P12" s="11" t="str">
        <x:v>Chronology(1).md:L36-L39</x:v>
      </x:c>
      <x:c r="Q12" s="11" t="str"/>
      <x:c r="R12" s="11" t="str"/>
      <x:c r="S12" s="11" t="str">
        <x:v>SOURCE-DOCUMENTED</x:v>
      </x:c>
      <x:c r="T12" s="11" t="str"/>
    </x:row>
    <x:row r="13">
      <x:c r="A13" s="11" t="str">
        <x:v>PC-0012</x:v>
      </x:c>
      <x:c r="B13" s="14"/>
      <x:c r="C13" s="14" t="str">
        <x:v>2026-09-07</x:v>
      </x:c>
      <x:c r="D13" s="11" t="str">
        <x:v>Orthad</x:v>
      </x:c>
      <x:c r="E13" s="11" t="str">
        <x:v>June Orthad canon + lens/carry work</x:v>
      </x:c>
      <x:c r="F13" s="11" t="str"/>
      <x:c r="G13" s="11" t="str">
        <x:v>DISCOVERY/CONSTRUCTION</x:v>
      </x:c>
      <x:c r="H13" s="11" t="str">
        <x:v>DERIVED</x:v>
      </x:c>
      <x:c r="I13" s="11" t="str">
        <x:v>Orthad meaning begins to stabilize: word-built lens, retained QBL history, counter-oriented charts, cross-chart transfer, Follow ≠ Carry.</x:v>
      </x:c>
      <x:c r="J13" s="11" t="str">
        <x:v>PC-0004;PC-0008;PC-0011</x:v>
      </x:c>
      <x:c r="K13" s="11" t="str">
        <x:v>PC-0004;PC-0008;PC-0011</x:v>
      </x:c>
      <x:c r="L13" s="11" t="str">
        <x:v>Retained dual-chart / overset structural layer becomes explicit.</x:v>
      </x:c>
      <x:c r="M13" s="11" t="str"/>
      <x:c r="N13" s="11" t="str"/>
      <x:c r="O13" s="11" t="str">
        <x:v>Licenses exact QBL/Orthad custody work.</x:v>
      </x:c>
      <x:c r="P13" s="11" t="str">
        <x:v>Chronology(1).md:L41-L63</x:v>
      </x:c>
      <x:c r="Q13" s="11" t="str"/>
      <x:c r="R13" s="11" t="str"/>
      <x:c r="S13" s="11" t="str">
        <x:v>SOURCE-DOCUMENTED</x:v>
      </x:c>
      <x:c r="T13" s="11" t="str">
        <x:v>Chronology specifies June 2026 but not an exact day. Event_Date intentionally left blank until the exact artifact date is attached.</x:v>
      </x:c>
    </x:row>
    <x:row r="14">
      <x:c r="A14" s="11" t="str">
        <x:v>PC-0013</x:v>
      </x:c>
      <x:c r="B14" s="14"/>
      <x:c r="C14" s="14" t="str">
        <x:v>2026-09-07</x:v>
      </x:c>
      <x:c r="D14" s="11" t="str">
        <x:v>QBL / Orthad Custody</x:v>
      </x:c>
      <x:c r="E14" s="11" t="str">
        <x:v>Active-Study QBL primitive custody recovery and correction</x:v>
      </x:c>
      <x:c r="F14" s="11" t="str"/>
      <x:c r="G14" s="11" t="str">
        <x:v>DERIVATION/AUDIT</x:v>
      </x:c>
      <x:c r="H14" s="11" t="str">
        <x:v>AUDITED</x:v>
      </x:c>
      <x:c r="I14" s="11" t="str">
        <x:v>QBL primitive custody recovered/corrected; false BL/FLOOR models rejected; capacity/carry structure derived and audited; exact first crossing recovered; primary-pairing/chart/transfer recurrence progressively forced and closed.</x:v>
      </x:c>
      <x:c r="J14" s="11" t="str">
        <x:v>PC-0012</x:v>
      </x:c>
      <x:c r="K14" s="11" t="str">
        <x:v>PC-0012</x:v>
      </x:c>
      <x:c r="L14" s="11" t="str">
        <x:v>Exact QBL/Orthad authority boundary and capacity/carry structure.</x:v>
      </x:c>
      <x:c r="M14" s="11" t="str">
        <x:v>False BL/FLOOR models rejected.</x:v>
      </x:c>
      <x:c r="N14" s="11" t="str"/>
      <x:c r="O14" s="11" t="str">
        <x:v>Licenses Cortex implementation and later recurrence closure.</x:v>
      </x:c>
      <x:c r="P14" s="11" t="str">
        <x:v>Chronology(1).md:L64-L71</x:v>
      </x:c>
      <x:c r="Q14" s="11" t="str"/>
      <x:c r="R14" s="11" t="str"/>
      <x:c r="S14" s="11" t="str">
        <x:v>SOURCE-DOCUMENTED</x:v>
      </x:c>
      <x:c r="T14" s="11" t="str">
        <x:v>Exact event dates should be added from the underlying Active-Study artifacts.</x:v>
      </x:c>
    </x:row>
    <x:row r="15">
      <x:c r="A15" s="11" t="str">
        <x:v>PC-0014</x:v>
      </x:c>
      <x:c r="B15" s="14"/>
      <x:c r="C15" s="14" t="str">
        <x:v>2026-09-07</x:v>
      </x:c>
      <x:c r="D15" s="11" t="str">
        <x:v>Cortex Implementation</x:v>
      </x:c>
      <x:c r="E15" s="11" t="str">
        <x:v>Cortex CP0 ... CP20</x:v>
      </x:c>
      <x:c r="F15" s="11" t="str">
        <x:v>CP0-CP20</x:v>
      </x:c>
      <x:c r="G15" s="11" t="str">
        <x:v>IMPLEMENTATION</x:v>
      </x:c>
      <x:c r="H15" s="11" t="str">
        <x:v>IMPLEMENTED</x:v>
      </x:c>
      <x:c r="I15" s="11" t="str">
        <x:v>Implements recovered QBL/Orthad authority boundary: assembly primitive custody, retained Orthad mutation, wordless persistence, local/hierarchical causal transactions, world integration.</x:v>
      </x:c>
      <x:c r="J15" s="11" t="str">
        <x:v>PC-0013</x:v>
      </x:c>
      <x:c r="K15" s="11" t="str">
        <x:v>PC-0013</x:v>
      </x:c>
      <x:c r="L15" s="11" t="str">
        <x:v>Recovered mathematical authority boundary implemented.</x:v>
      </x:c>
      <x:c r="M15" s="11" t="str"/>
      <x:c r="N15" s="11" t="str"/>
      <x:c r="O15" s="11" t="str">
        <x:v>Provides executable substrate for later integration.</x:v>
      </x:c>
      <x:c r="P15" s="11" t="str">
        <x:v>Chronology(1).md:L73-L80</x:v>
      </x:c>
      <x:c r="Q15" s="11" t="str"/>
      <x:c r="R15" s="11" t="str"/>
      <x:c r="S15" s="11" t="str">
        <x:v>SOURCE-DOCUMENTED</x:v>
      </x:c>
      <x:c r="T15" s="11" t="str"/>
    </x:row>
    <x:row r="16">
      <x:c r="A16" s="11" t="str">
        <x:v>PC-0015</x:v>
      </x:c>
      <x:c r="B16" s="14"/>
      <x:c r="C16" s="14" t="str">
        <x:v>2026-09-07</x:v>
      </x:c>
      <x:c r="D16" s="11" t="str">
        <x:v>Cortex Boundary</x:v>
      </x:c>
      <x:c r="E16" s="11" t="str">
        <x:v>CP20 deliberate boundary</x:v>
      </x:c>
      <x:c r="F16" s="11" t="str">
        <x:v>CP20</x:v>
      </x:c>
      <x:c r="G16" s="11" t="str">
        <x:v>BOUNDARY</x:v>
      </x:c>
      <x:c r="H16" s="11" t="str">
        <x:v>OPEN</x:v>
      </x:c>
      <x:c r="I16" s="11" t="str">
        <x:v>Implementation substrate mature, but full dual-chart recurrence integration remained blocked in the then-current retrospective.</x:v>
      </x:c>
      <x:c r="J16" s="11" t="str">
        <x:v>PC-0014</x:v>
      </x:c>
      <x:c r="K16" s="11" t="str">
        <x:v>PC-0014</x:v>
      </x:c>
      <x:c r="L16" s="11" t="str">
        <x:v>Explicitly records what was not yet closed.</x:v>
      </x:c>
      <x:c r="M16" s="11" t="str"/>
      <x:c r="N16" s="11" t="str"/>
      <x:c r="O16" s="11" t="str">
        <x:v>Creates a documented burden for post-CP20 mathematical closure.</x:v>
      </x:c>
      <x:c r="P16" s="11" t="str">
        <x:v>Chronology(1).md:L82-L85</x:v>
      </x:c>
      <x:c r="Q16" s="11" t="str"/>
      <x:c r="R16" s="11" t="str"/>
      <x:c r="S16" s="11" t="str">
        <x:v>SOURCE-DOCUMENTED</x:v>
      </x:c>
      <x:c r="T16" s="11" t="str"/>
    </x:row>
    <x:row r="17">
      <x:c r="A17" s="11" t="str">
        <x:v>PC-0016</x:v>
      </x:c>
      <x:c r="B17" s="14" t="str">
        <x:v>2026-04-27</x:v>
      </x:c>
      <x:c r="C17" s="14" t="str">
        <x:v>2026-09-07</x:v>
      </x:c>
      <x:c r="D17" s="11" t="str">
        <x:v>Navier-Stokes</x:v>
      </x:c>
      <x:c r="E17" s="11" t="str">
        <x:v>CF10: Global Regularity for the Three-Dimensional Navier-Stokes Equations</x:v>
      </x:c>
      <x:c r="F17" s="11" t="str">
        <x:v>v1</x:v>
      </x:c>
      <x:c r="G17" s="11" t="str">
        <x:v>APPLICATION/THEOREM</x:v>
      </x:c>
      <x:c r="H17" s="11" t="str">
        <x:v>PUBLISHED</x:v>
      </x:c>
      <x:c r="I17" s="11" t="str">
        <x:v>Post-CP20 closure list includes CF10 global regularity work.</x:v>
      </x:c>
      <x:c r="J17" s="11" t="str"/>
      <x:c r="K17" s="11" t="str"/>
      <x:c r="L17" s="11" t="str">
        <x:v>Phase Calculus transported into the Navier-Stokes regularity program.</x:v>
      </x:c>
      <x:c r="M17" s="11" t="str"/>
      <x:c r="N17" s="11" t="str"/>
      <x:c r="O17" s="11" t="str">
        <x:v>Downstream physical application of retained-state / quotient machinery.</x:v>
      </x:c>
      <x:c r="P17" s="11" t="str">
        <x:v>Chronology(1).md:L87-L90</x:v>
      </x:c>
      <x:c r="Q17" s="11" t="str"/>
      <x:c r="R17" s="11" t="str"/>
      <x:c r="S17" s="11" t="str">
        <x:v>SOURCE-DOCUMENTED</x:v>
      </x:c>
      <x:c r="T17" s="11" t="str">
        <x:v>Its calendar date predates the later CP20 stage; retain event date separately from the chronology section in which it is discussed.</x:v>
      </x:c>
    </x:row>
    <x:row r="18">
      <x:c r="A18" s="11" t="str">
        <x:v>PC-0017</x:v>
      </x:c>
      <x:c r="B18" s="14" t="str">
        <x:v>2026-07-19</x:v>
      </x:c>
      <x:c r="C18" s="14" t="str">
        <x:v>2026-09-07</x:v>
      </x:c>
      <x:c r="D18" s="11" t="str">
        <x:v>Lifted Object</x:v>
      </x:c>
      <x:c r="E18" s="11" t="str">
        <x:v>The Lifted Object: A Natural-Language Walkthrough from Primitive Custody to the Orthad</x:v>
      </x:c>
      <x:c r="F18" s="11" t="str">
        <x:v>v1.0.0-v1.0.1</x:v>
      </x:c>
      <x:c r="G18" s="11" t="str">
        <x:v>WALKTHROUGH</x:v>
      </x:c>
      <x:c r="H18" s="11" t="str">
        <x:v>PUBLISHED</x:v>
      </x:c>
      <x:c r="I18" s="11" t="str">
        <x:v>Current natural-language walkthrough from primitive custody to the Orthad.</x:v>
      </x:c>
      <x:c r="J18" s="11" t="str">
        <x:v>PC-0013;PC-0015</x:v>
      </x:c>
      <x:c r="K18" s="11" t="str">
        <x:v>PC-0013;PC-0015</x:v>
      </x:c>
      <x:c r="L18" s="11" t="str">
        <x:v>Current explanatory surface for recovered custody and Orthad.</x:v>
      </x:c>
      <x:c r="M18" s="11" t="str"/>
      <x:c r="N18" s="11" t="str"/>
      <x:c r="O18" s="11" t="str">
        <x:v>Provides a human-readable reference surface; does not replace primary derivation artifacts.</x:v>
      </x:c>
      <x:c r="P18" s="11" t="str">
        <x:v>Chronology(1).md:L92-L96</x:v>
      </x:c>
      <x:c r="Q18" s="11" t="str"/>
      <x:c r="R18" s="11" t="str"/>
      <x:c r="S18" s="11" t="str">
        <x:v>SOURCE-DOCUMENTED</x:v>
      </x:c>
      <x:c r="T18" s="11" t="str"/>
    </x:row>
    <x:row r="19">
      <x:c r="A19" s="11" t="str">
        <x:v>PC-0018</x:v>
      </x:c>
      <x:c r="B19" s="14"/>
      <x:c r="C19" s="14" t="str">
        <x:v>2026-09-07</x:v>
      </x:c>
      <x:c r="D19" s="11" t="str">
        <x:v>Capacity Law</x:v>
      </x:c>
      <x:c r="E19" s="11" t="str">
        <x:v>QBL phase-position / capacity dependency chain</x:v>
      </x:c>
      <x:c r="F19" s="11" t="str"/>
      <x:c r="G19" s="11" t="str">
        <x:v>DEPENDENCY-CHAIN</x:v>
      </x:c>
      <x:c r="H19" s="11" t="str">
        <x:v>DERIVED</x:v>
      </x:c>
      <x:c r="I19" s="11" t="str">
        <x:v>QBL phase-position/capacity structure branches to Q count 6·2^A−1 / Thabit family and closing capacity 2^(2J_A), then Fibonacci product crossing, exact B depth, global ceiling theorem, dyadic carry, {7,8,9}, five-valued defect, affine interval language, and exact retained QBL boundary factor.</x:v>
      </x:c>
      <x:c r="J19" s="11" t="str">
        <x:v>PC-0013</x:v>
      </x:c>
      <x:c r="K19" s="11" t="str">
        <x:v>PC-0013</x:v>
      </x:c>
      <x:c r="L19" s="11" t="str">
        <x:v>Capacity law becomes a deep downstream dependency spine.</x:v>
      </x:c>
      <x:c r="M19" s="11" t="str"/>
      <x:c r="N19" s="11" t="str"/>
      <x:c r="O19" s="11" t="str">
        <x:v>Licenses exact boundary-factor and affine-language consequences.</x:v>
      </x:c>
      <x:c r="P19" s="11" t="str">
        <x:v>Chronology(1).md:L100-L126</x:v>
      </x:c>
      <x:c r="Q19" s="11" t="str"/>
      <x:c r="R19" s="11" t="str"/>
      <x:c r="S19" s="11" t="str">
        <x:v>SOURCE-DOCUMENTED</x:v>
      </x:c>
      <x:c r="T19" s="11" t="str"/>
    </x:row>
    <x:row r="20">
      <x:c r="A20" s="11" t="str">
        <x:v>PC-0019</x:v>
      </x:c>
      <x:c r="B20" s="14"/>
      <x:c r="C20" s="14" t="str">
        <x:v>2026-09-07</x:v>
      </x:c>
      <x:c r="D20" s="11" t="str">
        <x:v>Research Methodology</x:v>
      </x:c>
      <x:c r="E20" s="11" t="str">
        <x:v>ORCHESTRA</x:v>
      </x:c>
      <x:c r="F20" s="11" t="str"/>
      <x:c r="G20" s="11" t="str">
        <x:v>FRAMEWORK</x:v>
      </x:c>
      <x:c r="H20" s="11" t="str">
        <x:v>DERIVED</x:v>
      </x:c>
      <x:c r="I20" s="11" t="str">
        <x:v>Built during Taoism / Active-Study and began formalization as a provenance-tracking research methodology.</x:v>
      </x:c>
      <x:c r="J20" s="11" t="str">
        <x:v>PC-0012;PC-0013</x:v>
      </x:c>
      <x:c r="K20" s="11" t="str">
        <x:v>PC-0012;PC-0013</x:v>
      </x:c>
      <x:c r="L20" s="11" t="str">
        <x:v>Research provenance becomes an explicit methodology layer alongside mathematical derivation and audit.</x:v>
      </x:c>
      <x:c r="M20" s="11" t="str"/>
      <x:c r="N20" s="11" t="str"/>
      <x:c r="O20" s="11" t="str">
        <x:v>Licenses later methodology development, including Cairn.</x:v>
      </x:c>
      <x:c r="P20" s="11" t="str">
        <x:v>User chronology clarification, 2026-09-07</x:v>
      </x:c>
      <x:c r="Q20" s="11" t="str"/>
      <x:c r="R20" s="11" t="str"/>
      <x:c r="S20" s="11" t="str">
        <x:v>USER-ATTESTED</x:v>
      </x:c>
      <x:c r="T20" s="11" t="str">
        <x:v>Exact first artifact/commit date remains unresolved and should be attached rather than inferred.</x:v>
      </x:c>
    </x:row>
    <x:row r="21">
      <x:c r="A21" s="11" t="str">
        <x:v>PC-0020</x:v>
      </x:c>
      <x:c r="B21" s="14"/>
      <x:c r="C21" s="14" t="str">
        <x:v>2026-09-07</x:v>
      </x:c>
      <x:c r="D21" s="11" t="str">
        <x:v>Research Methodology</x:v>
      </x:c>
      <x:c r="E21" s="11" t="str">
        <x:v>Cairn</x:v>
      </x:c>
      <x:c r="F21" s="11" t="str"/>
      <x:c r="G21" s="11" t="str">
        <x:v>CONSTRUCTION</x:v>
      </x:c>
      <x:c r="H21" s="11" t="str">
        <x:v>OPEN</x:v>
      </x:c>
      <x:c r="I21" s="11" t="str">
        <x:v>Work on Cairn begins after ORCHESTRA as the next stage of the provenance/research-methodology lineage.</x:v>
      </x:c>
      <x:c r="J21" s="11" t="str">
        <x:v>PC-0019</x:v>
      </x:c>
      <x:c r="K21" s="11" t="str">
        <x:v>PC-0019</x:v>
      </x:c>
      <x:c r="L21" s="11" t="str">
        <x:v>Methodology development continues beyond ORCHESTRA.</x:v>
      </x:c>
      <x:c r="M21" s="11" t="str"/>
      <x:c r="N21" s="11" t="str"/>
      <x:c r="O21" s="11" t="str">
        <x:v>Pending exact Cairn artifact/repository mapping for provenance-grade Git crosslinking.</x:v>
      </x:c>
      <x:c r="P21" s="11" t="str">
        <x:v>User chronology clarification, 2026-09-07</x:v>
      </x:c>
      <x:c r="Q21" s="11" t="str"/>
      <x:c r="R21" s="11" t="str"/>
      <x:c r="S21" s="11" t="str">
        <x:v>USER-ATTESTED</x:v>
      </x:c>
      <x:c r="T21" s="11" t="str">
        <x:v>Sequence is established by user report; exact date, repository, and first major commit are intentionally not guessed.</x:v>
      </x:c>
    </x:row>
  </x:sheetData>
  <x:conditionalFormatting sqref="H2:H19">
    <x:cfRule type="expression" dxfId="0" priority="1">
      <x:formula>H2="OPEN"</x:formula>
    </x:cfRule>
    <x:cfRule type="expression" dxfId="1" priority="2">
      <x:formula>OR(H2="PROVED",H2="AUDITED",H2="DERIVED")</x:formula>
    </x:cfRule>
    <x:cfRule type="expression" dxfId="2" priority="3">
      <x:formula>OR(H2="REJECTED",H2="SUPERSEDED")</x:formula>
    </x:cfRule>
  </x:conditionalFormatting>
  <x:dataValidations count="2">
    <x:dataValidation type="list" sqref="H2:H2000">
      <x:formula1>Lists!$A$2:$A$10</x:formula1>
    </x:dataValidation>
    <x:dataValidation type="list" sqref="G2:G2000">
      <x:formula1>Lists!$C$2:$C$14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b1d7b9fb914d71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20" hidden="0" customWidth="1"/>
    <x:col min="4" max="4" width="60" hidden="0" customWidth="1"/>
  </x:cols>
  <x:sheetData>
    <x:row r="1">
      <x:c r="A1" s="10" t="str">
        <x:v>From_Entry_ID</x:v>
      </x:c>
      <x:c r="B1" s="10" t="str">
        <x:v>To_Entry_ID</x:v>
      </x:c>
      <x:c r="C1" s="10" t="str">
        <x:v>Relationship</x:v>
      </x:c>
      <x:c r="D1" s="10" t="str">
        <x:v>Basis</x:v>
      </x:c>
    </x:row>
    <x:row r="2">
      <x:c r="A2" s="11" t="str">
        <x:v>PC-0001</x:v>
      </x:c>
      <x:c r="B2" s="11" t="str">
        <x:v>PC-0002</x:v>
      </x:c>
      <x:c r="C2" s="11" t="str">
        <x:v>DERIVES</x:v>
      </x:c>
      <x:c r="D2" s="11" t="str">
        <x:v>CF000 primitive condition is deliberately excavated by Farey work.</x:v>
      </x:c>
    </x:row>
    <x:row r="3">
      <x:c r="A3" s="11" t="str">
        <x:v>PC-0001</x:v>
      </x:c>
      <x:c r="B3" s="11" t="str">
        <x:v>PC-0003</x:v>
      </x:c>
      <x:c r="C3" s="11" t="str">
        <x:v>INPUT</x:v>
      </x:c>
      <x:c r="D3" s="11" t="str">
        <x:v>CF000 structures contribute to state-complete construction.</x:v>
      </x:c>
    </x:row>
    <x:row r="4">
      <x:c r="A4" s="11" t="str">
        <x:v>PC-0002</x:v>
      </x:c>
      <x:c r="B4" s="11" t="str">
        <x:v>PC-0003</x:v>
      </x:c>
      <x:c r="C4" s="11" t="str">
        <x:v>INPUT</x:v>
      </x:c>
      <x:c r="D4" s="11" t="str">
        <x:v>Farey structures contribute to state-complete construction.</x:v>
      </x:c>
    </x:row>
    <x:row r="5">
      <x:c r="A5" s="11" t="str">
        <x:v>PC-0003</x:v>
      </x:c>
      <x:c r="B5" s="11" t="str">
        <x:v>PC-0004</x:v>
      </x:c>
      <x:c r="C5" s="11" t="str">
        <x:v>DEVELOPS_INTO</x:v>
      </x:c>
      <x:c r="D5" s="11" t="str">
        <x:v>CF19 precedes broader lifted-state operator calculus.</x:v>
      </x:c>
    </x:row>
    <x:row r="6">
      <x:c r="A6" s="11" t="str">
        <x:v>PC-0004</x:v>
      </x:c>
      <x:c r="B6" s="11" t="str">
        <x:v>PC-0006</x:v>
      </x:c>
      <x:c r="C6" s="11" t="str">
        <x:v>DEVELOPS_INTO</x:v>
      </x:c>
      <x:c r="D6" s="11" t="str">
        <x:v>Operator core feeds quotient descent.</x:v>
      </x:c>
    </x:row>
    <x:row r="7">
      <x:c r="A7" s="11" t="str">
        <x:v>PC-0006</x:v>
      </x:c>
      <x:c r="B7" s="11" t="str">
        <x:v>PC-0007</x:v>
      </x:c>
      <x:c r="C7" s="11" t="str">
        <x:v>APPLIED_IN</x:v>
      </x:c>
      <x:c r="D7" s="11" t="str">
        <x:v>Quotient descent used in Unified Quintic.</x:v>
      </x:c>
    </x:row>
    <x:row r="8">
      <x:c r="A8" s="11" t="str">
        <x:v>PC-0006</x:v>
      </x:c>
      <x:c r="B8" s="11" t="str">
        <x:v>PC-0008</x:v>
      </x:c>
      <x:c r="C8" s="11" t="str">
        <x:v>SUPPORTS</x:v>
      </x:c>
      <x:c r="D8" s="11" t="str">
        <x:v>Quotient machinery supports monodromy distinction.</x:v>
      </x:c>
    </x:row>
    <x:row r="9">
      <x:c r="A9" s="11" t="str">
        <x:v>PC-0008</x:v>
      </x:c>
      <x:c r="B9" s="11" t="str">
        <x:v>PC-0011</x:v>
      </x:c>
      <x:c r="C9" s="11" t="str">
        <x:v>APPLIED_IN</x:v>
      </x:c>
      <x:c r="D9" s="11" t="str">
        <x:v>Branch-history monodromy used in anomalous Hall transport.</x:v>
      </x:c>
    </x:row>
    <x:row r="10">
      <x:c r="A10" s="11" t="str">
        <x:v>PC-0008</x:v>
      </x:c>
      <x:c r="B10" s="11" t="str">
        <x:v>PC-0012</x:v>
      </x:c>
      <x:c r="C10" s="11" t="str">
        <x:v>CONSTRAINS</x:v>
      </x:c>
      <x:c r="D10" s="11" t="str">
        <x:v>Projection-loss/history results constrain Orthad interpretation.</x:v>
      </x:c>
    </x:row>
    <x:row r="11">
      <x:c r="A11" s="11" t="str">
        <x:v>PC-0012</x:v>
      </x:c>
      <x:c r="B11" s="11" t="str">
        <x:v>PC-0013</x:v>
      </x:c>
      <x:c r="C11" s="11" t="str">
        <x:v>DEVELOPS_INTO</x:v>
      </x:c>
      <x:c r="D11" s="11" t="str">
        <x:v>June Orthad/lens work enters exact QBL custody attack.</x:v>
      </x:c>
    </x:row>
    <x:row r="12">
      <x:c r="A12" s="11" t="str">
        <x:v>PC-0013</x:v>
      </x:c>
      <x:c r="B12" s="11" t="str">
        <x:v>PC-0014</x:v>
      </x:c>
      <x:c r="C12" s="11" t="str">
        <x:v>IMPLEMENTED_BY</x:v>
      </x:c>
      <x:c r="D12" s="11" t="str">
        <x:v>Recovered authority boundary implemented in Cortex.</x:v>
      </x:c>
    </x:row>
    <x:row r="13">
      <x:c r="A13" s="11" t="str">
        <x:v>PC-0014</x:v>
      </x:c>
      <x:c r="B13" s="11" t="str">
        <x:v>PC-0015</x:v>
      </x:c>
      <x:c r="C13" s="11" t="str">
        <x:v>EXPOSES_BOUNDARY</x:v>
      </x:c>
      <x:c r="D13" s="11" t="str">
        <x:v>CP20 records a remaining integration burden.</x:v>
      </x:c>
    </x:row>
    <x:row r="14">
      <x:c r="A14" s="11" t="str">
        <x:v>PC-0015</x:v>
      </x:c>
      <x:c r="B14" s="11" t="str">
        <x:v>PC-0017</x:v>
      </x:c>
      <x:c r="C14" s="11" t="str">
        <x:v>DOCUMENTED_BY</x:v>
      </x:c>
      <x:c r="D14" s="11" t="str">
        <x:v>Walkthrough reflects current post-boundary understanding.</x:v>
      </x:c>
    </x:row>
    <x:row r="15">
      <x:c r="A15" s="11" t="str">
        <x:v>PC-0013</x:v>
      </x:c>
      <x:c r="B15" s="11" t="str">
        <x:v>PC-0018</x:v>
      </x:c>
      <x:c r="C15" s="11" t="str">
        <x:v>DERIVES</x:v>
      </x:c>
      <x:c r="D15" s="11" t="str">
        <x:v>Capacity/carry custody yields the capacity dependency spine.</x:v>
      </x:c>
    </x:row>
  </x:sheetData>
  <x:pageMargins left="0.7" right="0.7" top="0.75" bottom="0.75" header="0.3" footer="0.3"/>
  <x:tableParts count="1">
    <x:tablePart xmlns:r="http://schemas.openxmlformats.org/officeDocument/2006/relationships" r:id="R5779f7d5b17549e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0" hidden="0" customWidth="1"/>
  </x:cols>
  <x:sheetData>
    <x:row r="1">
      <x:c r="A1" s="10" t="str">
        <x:v>Rule</x:v>
      </x:c>
      <x:c r="B1" s="10" t="str">
        <x:v>Operational meaning</x:v>
      </x:c>
    </x:row>
    <x:row r="2">
      <x:c r="A2" s="11" t="str">
        <x:v>Append, do not rewrite</x:v>
      </x:c>
      <x:c r="B2" s="11" t="str">
        <x:v>If a claim changes, add a new row and point Supersedes_or_Corrects to the old Entry_ID. Preserve the old row.</x:v>
      </x:c>
    </x:row>
    <x:row r="3">
      <x:c r="A3" s="11" t="str">
        <x:v>Separate intuition from authorization</x:v>
      </x:c>
      <x:c r="B3" s="11" t="str">
        <x:v>Log speculative ideas as HYPOTHESIS. Change status only when the proof/test burden actually closes.</x:v>
      </x:c>
    </x:row>
    <x:row r="4">
      <x:c r="A4" s="11" t="str">
        <x:v>Separate event date from recorded date</x:v>
      </x:c>
      <x:c r="B4" s="11" t="str">
        <x:v>Event_Date is when the artifact/result occurred. Recorded_Date is when this ledger row was added.</x:v>
      </x:c>
    </x:row>
    <x:row r="5">
      <x:c r="A5" s="11" t="str">
        <x:v>Never backfill uncertainty as fact</x:v>
      </x:c>
      <x:c r="B5" s="11" t="str">
        <x:v>Unknown dates/hashes/DOIs stay blank until located. Archaeology gets its own row if necessary.</x:v>
      </x:c>
    </x:row>
    <x:row r="6">
      <x:c r="A6" s="11" t="str">
        <x:v>Immutable evidence anchor</x:v>
      </x:c>
      <x:c r="B6" s="11" t="str">
        <x:v>Prefer DOI, git commit, content SHA-256, sealed package hash, or exact source path + line/range.</x:v>
      </x:c>
    </x:row>
    <x:row r="7">
      <x:c r="A7" s="11" t="str">
        <x:v>Keep failures</x:v>
      </x:c>
      <x:c r="B7" s="11" t="str">
        <x:v>Rejected models, failed proofs, and falsifiers are provenance. Do not delete them.</x:v>
      </x:c>
    </x:row>
    <x:row r="8">
      <x:c r="A8" s="11" t="str">
        <x:v>Dependency IDs are exact</x:v>
      </x:c>
      <x:c r="B8" s="11" t="str">
        <x:v>Use stable Entry_IDs instead of prose like 'earlier work' whenever possible.</x:v>
      </x:c>
    </x:row>
    <x:row r="9">
      <x:c r="A9" s="11" t="str">
        <x:v>Publication != proof status</x:v>
      </x:c>
      <x:c r="B9" s="11" t="str">
        <x:v>A published hypothesis can remain OPEN; an unpublished result can be PROVED/AUDITED.</x:v>
      </x:c>
    </x:row>
    <x:row r="10">
      <x:c r="A10" s="11" t="str">
        <x:v>Record what a result licenses</x:v>
      </x:c>
      <x:c r="B10" s="11" t="str">
        <x:v>Downstream_License states exactly what later work is entitled to inherit.</x:v>
      </x:c>
    </x:row>
    <x:row r="11">
      <x:c r="A11" s="11" t="str">
        <x:v>No hand forcing</x:v>
      </x:c>
      <x:c r="B11" s="11" t="str">
        <x:v>If a parameter, recurrence, capacity, threshold, or mapping is derived, record the derivation source so later work cannot silently retune it.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3" max="3" width="24" hidden="0" customWidth="1"/>
  </x:cols>
  <x:sheetData>
    <x:row r="1">
      <x:c r="A1" s="5" t="str">
        <x:v>Status</x:v>
      </x:c>
      <x:c r="C1" s="5" t="str">
        <x:v>Entry_Type</x:v>
      </x:c>
    </x:row>
    <x:row r="2">
      <x:c r="A2" t="str">
        <x:v>HYPOTHESIS</x:v>
      </x:c>
      <x:c r="C2" t="str">
        <x:v>FOUNDATION</x:v>
      </x:c>
    </x:row>
    <x:row r="3">
      <x:c r="A3" t="str">
        <x:v>OPEN</x:v>
      </x:c>
      <x:c r="C3" t="str">
        <x:v>THEOREM</x:v>
      </x:c>
    </x:row>
    <x:row r="4">
      <x:c r="A4" t="str">
        <x:v>DERIVED</x:v>
      </x:c>
      <x:c r="C4" t="str">
        <x:v>CONSTRUCTION</x:v>
      </x:c>
    </x:row>
    <x:row r="5">
      <x:c r="A5" t="str">
        <x:v>PROVED</x:v>
      </x:c>
      <x:c r="C5" t="str">
        <x:v>FRAMEWORK</x:v>
      </x:c>
    </x:row>
    <x:row r="6">
      <x:c r="A6" t="str">
        <x:v>AUDITED</x:v>
      </x:c>
      <x:c r="C6" t="str">
        <x:v>APPLICATION</x:v>
      </x:c>
    </x:row>
    <x:row r="7">
      <x:c r="A7" t="str">
        <x:v>REJECTED</x:v>
      </x:c>
      <x:c r="C7" t="str">
        <x:v>DERIVATION/AUDIT</x:v>
      </x:c>
    </x:row>
    <x:row r="8">
      <x:c r="A8" t="str">
        <x:v>SUPERSEDED</x:v>
      </x:c>
      <x:c r="C8" t="str">
        <x:v>IMPLEMENTATION</x:v>
      </x:c>
    </x:row>
    <x:row r="9">
      <x:c r="A9" t="str">
        <x:v>IMPLEMENTED</x:v>
      </x:c>
      <x:c r="C9" t="str">
        <x:v>BOUNDARY</x:v>
      </x:c>
    </x:row>
    <x:row r="10">
      <x:c r="A10" t="str">
        <x:v>PUBLISHED</x:v>
      </x:c>
      <x:c r="C10" t="str">
        <x:v>WALKTHROUGH</x:v>
      </x:c>
    </x:row>
    <x:row r="11">
      <x:c r="C11" t="str">
        <x:v>DEPENDENCY-CHAIN</x:v>
      </x:c>
    </x:row>
    <x:row r="12">
      <x:c r="C12" t="str">
        <x:v>HYPOTHESIS</x:v>
      </x:c>
    </x:row>
    <x:row r="13">
      <x:c r="C13" t="str">
        <x:v>CORRECTION</x:v>
      </x:c>
    </x:row>
    <x:row r="14">
      <x:c r="C14" t="str">
        <x:v>FALSIFIER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62" hidden="0" customWidth="1"/>
  </x:cols>
  <x:sheetData>
    <x:row r="1">
      <x:c r="A1" s="20" t="str">
        <x:v>Phase Calculus Active Provenance Ledger</x:v>
      </x:c>
      <x:c r="B1" s="11"/>
      <x:c r="C1" s="11"/>
      <x:c r="D1" s="11"/>
    </x:row>
    <x:row r="2">
      <x:c r="A2" s="11"/>
      <x:c r="B2" s="11"/>
      <x:c r="C2" s="11"/>
      <x:c r="D2" s="11"/>
    </x:row>
    <x:row r="3">
      <x:c r="A3" s="10" t="str">
        <x:v>Metric</x:v>
      </x:c>
      <x:c r="B3" s="10" t="str">
        <x:v>Value</x:v>
      </x:c>
      <x:c r="C3" s="11"/>
      <x:c r="D3" s="11"/>
    </x:row>
    <x:row r="4">
      <x:c r="A4" s="11" t="str">
        <x:v>Seeded entries</x:v>
      </x:c>
      <x:c r="B4" s="11" t="n">
        <x:f>COUNTA(Ledger!A2:A2000)</x:f>
        <x:v>20</x:v>
      </x:c>
      <x:c r="C4" s="11"/>
      <x:c r="D4" s="11"/>
    </x:row>
    <x:row r="5">
      <x:c r="A5" s="11" t="str">
        <x:v>Dependency edges</x:v>
      </x:c>
      <x:c r="B5" s="11" t="n">
        <x:f>COUNTA(Dependencies!A2:A2000)</x:f>
        <x:v>14</x:v>
      </x:c>
      <x:c r="C5" s="11"/>
      <x:c r="D5" s="11"/>
    </x:row>
    <x:row r="6">
      <x:c r="A6" s="11" t="str">
        <x:v>Open burdens</x:v>
      </x:c>
      <x:c r="B6" s="11" t="n">
        <x:f>COUNTIF(Ledger!H2:H2000,"OPEN")</x:f>
        <x:v>2</x:v>
      </x:c>
      <x:c r="C6" s="11"/>
      <x:c r="D6" s="11"/>
    </x:row>
    <x:row r="7">
      <x:c r="A7" s="11" t="str">
        <x:v>Rejected/superseded rows</x:v>
      </x:c>
      <x:c r="B7" s="11" t="n">
        <x:f>COUNTIF(Ledger!H2:H2000,"REJECTED")+COUNTIF(Ledger!H2:H2000,"SUPERSEDED")</x:f>
        <x:v>0</x:v>
      </x:c>
      <x:c r="C7" s="11"/>
      <x:c r="D7" s="11"/>
    </x:row>
    <x:row r="8">
      <x:c r="A8" s="11"/>
      <x:c r="B8" s="11"/>
      <x:c r="C8" s="11"/>
      <x:c r="D8" s="11"/>
    </x:row>
    <x:row r="9">
      <x:c r="A9" s="10" t="str">
        <x:v>Status</x:v>
      </x:c>
      <x:c r="B9" s="10" t="str">
        <x:v>Count</x:v>
      </x:c>
      <x:c r="C9" s="11"/>
      <x:c r="D9" s="11"/>
    </x:row>
    <x:row r="10">
      <x:c r="A10" s="11" t="str">
        <x:v>HYPOTHESIS</x:v>
      </x:c>
      <x:c r="B10" s="11" t="n">
        <x:f>COUNTIF(Ledger!H2:H2000,A10)</x:f>
        <x:v>0</x:v>
      </x:c>
      <x:c r="C10" s="11"/>
      <x:c r="D10" s="11"/>
    </x:row>
    <x:row r="11">
      <x:c r="A11" s="11" t="str">
        <x:v>OPEN</x:v>
      </x:c>
      <x:c r="B11" s="11" t="n">
        <x:f>COUNTIF(Ledger!H2:H2000,A11)</x:f>
        <x:v>2</x:v>
      </x:c>
      <x:c r="C11" s="11"/>
      <x:c r="D11" s="11"/>
    </x:row>
    <x:row r="12">
      <x:c r="A12" s="11" t="str">
        <x:v>DERIVED</x:v>
      </x:c>
      <x:c r="B12" s="11" t="n">
        <x:f>COUNTIF(Ledger!H2:H2000,A12)</x:f>
        <x:v>4</x:v>
      </x:c>
      <x:c r="C12" s="11"/>
      <x:c r="D12" s="11"/>
    </x:row>
    <x:row r="13">
      <x:c r="A13" s="11" t="str">
        <x:v>PROVED</x:v>
      </x:c>
      <x:c r="B13" s="11" t="n">
        <x:f>COUNTIF(Ledger!H2:H2000,A13)</x:f>
        <x:v>0</x:v>
      </x:c>
      <x:c r="C13" s="11"/>
      <x:c r="D13" s="11"/>
    </x:row>
    <x:row r="14">
      <x:c r="A14" s="11" t="str">
        <x:v>AUDITED</x:v>
      </x:c>
      <x:c r="B14" s="11" t="n">
        <x:f>COUNTIF(Ledger!H2:H2000,A14)</x:f>
        <x:v>1</x:v>
      </x:c>
      <x:c r="C14" s="11"/>
      <x:c r="D14" s="11"/>
    </x:row>
    <x:row r="15">
      <x:c r="A15" s="11" t="str">
        <x:v>REJECTED</x:v>
      </x:c>
      <x:c r="B15" s="11" t="n">
        <x:f>COUNTIF(Ledger!H2:H2000,A15)</x:f>
        <x:v>0</x:v>
      </x:c>
      <x:c r="C15" s="11"/>
      <x:c r="D15" s="11"/>
    </x:row>
    <x:row r="16">
      <x:c r="A16" s="11" t="str">
        <x:v>SUPERSEDED</x:v>
      </x:c>
      <x:c r="B16" s="11" t="n">
        <x:f>COUNTIF(Ledger!H2:H2000,A16)</x:f>
        <x:v>0</x:v>
      </x:c>
      <x:c r="C16" s="11"/>
      <x:c r="D16" s="11"/>
    </x:row>
    <x:row r="17">
      <x:c r="A17" s="11" t="str">
        <x:v>IMPLEMENTED</x:v>
      </x:c>
      <x:c r="B17" s="11" t="n">
        <x:f>COUNTIF(Ledger!H2:H2000,A17)</x:f>
        <x:v>1</x:v>
      </x:c>
      <x:c r="C17" s="11"/>
      <x:c r="D17" s="11"/>
    </x:row>
    <x:row r="18">
      <x:c r="A18" s="11" t="str">
        <x:v>PUBLISHED</x:v>
      </x:c>
      <x:c r="B18" s="11" t="n">
        <x:f>COUNTIF(Ledger!H2:H2000,A18)</x:f>
        <x:v>12</x:v>
      </x:c>
      <x:c r="C18" s="11"/>
      <x:c r="D18" s="11"/>
    </x:row>
    <x:row r="19">
      <x:c r="A19" s="11"/>
      <x:c r="B19" s="11"/>
      <x:c r="C19" s="11"/>
      <x:c r="D19" s="11"/>
    </x:row>
    <x:row r="20">
      <x:c r="A20" s="30" t="str">
        <x:v>Git provenance layer</x:v>
      </x:c>
      <x:c r="B20" s="11" t="str">
        <x:v>See Git Summary / Git Milestones / Git Crosslinks / Repo Summary</x:v>
      </x:c>
      <x:c r="C20" s="11"/>
      <x:c r="D20" s="11"/>
    </x:row>
    <x:row r="21">
      <x:c r="A21" s="36" t="str">
        <x:v>Methodology lineage</x:v>
      </x:c>
      <x:c r="B21" s="11" t="str">
        <x:v>Taoism / Active-Study → ORCHESTRA → Cairn</x:v>
      </x:c>
    </x:row>
    <x:row r="22">
      <x:c r="A22" s="36" t="str">
        <x:v>Methodology sheet</x:v>
      </x:c>
      <x:c r="B22" s="11" t="str">
        <x:v>See Methodology Lineage</x:v>
      </x:c>
    </x:row>
    <x:row r="23">
      <x:c r="A23" s="30" t="str">
        <x:v>Unified evidence surface</x:v>
      </x:c>
      <x:c r="B23" s="11" t="str">
        <x:v>Provenance repo thin evidence graph</x:v>
      </x:c>
    </x:row>
    <x:row r="24">
      <x:c r="A24" s="30" t="str">
        <x:v>Master evidence rows</x:v>
      </x:c>
      <x:c r="B24" s="11" t="n">
        <x:v>274</x:v>
      </x:c>
    </x:row>
    <x:row r="25">
      <x:c r="A25" s="30" t="str">
        <x:v>Public reach records</x:v>
      </x:c>
      <x:c r="B25" s="11" t="n">
        <x:v>188</x:v>
      </x:c>
    </x:row>
    <x:row r="26">
      <x:c r="A26" s="30" t="str">
        <x:v>Major public milestones</x:v>
      </x:c>
      <x:c r="B26" s="11" t="n">
        <x:v>54</x:v>
      </x:c>
    </x:row>
    <x:row r="27">
      <x:c r="A27" s="30" t="str">
        <x:v>Git milestone rows</x:v>
      </x:c>
      <x:c r="B27" s="11" t="n">
        <x:v>45</x:v>
      </x:c>
    </x:row>
    <x:row r="28">
      <x:c r="A28" s="30" t="str">
        <x:v>Legacy CF artifacts indexed</x:v>
      </x:c>
      <x:c r="B28" s="11" t="n">
        <x:v>21</x:v>
      </x:c>
    </x:row>
    <x:row r="29">
      <x:c r="A29" s="30" t="str">
        <x:v>Methodology lineage rows</x:v>
      </x:c>
      <x:c r="B29" s="11" t="n">
        <x:v>6</x:v>
      </x:c>
    </x:row>
    <x:row r="30">
      <x:c r="A30" s="30" t="str">
        <x:v>Source artifacts / archive anchors</x:v>
      </x:c>
      <x:c r="B30" s="11" t="n">
        <x:v>14</x:v>
      </x:c>
    </x:row>
    <x:row r="31">
      <x:c r="A31" s="30" t="str">
        <x:v>Repository rule</x:v>
      </x:c>
      <x:c r="B31" s="11" t="str">
        <x:v>Provenance index, not code warehouse</x:v>
      </x:c>
    </x:row>
  </x:sheetData>
  <x:mergeCells>
    <x:mergeCell ref="A1:D1"/>
  </x:mergeCells>
  <x:pageMargins left="0.7" right="0.7" top="0.75" bottom="0.75" header="0.3" footer="0.3"/>
  <x:drawing xmlns:r="http://schemas.openxmlformats.org/officeDocument/2006/relationships" r:id="R1e2df59d1be644d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4" hidden="0" customWidth="1"/>
    <x:col min="3" max="3" width="16" hidden="0" customWidth="1"/>
    <x:col min="4" max="4" width="13" hidden="0" customWidth="1"/>
    <x:col min="5" max="5" width="42" hidden="0" customWidth="1"/>
    <x:col min="6" max="6" width="12" hidden="0" customWidth="1"/>
    <x:col min="7" max="7" width="46" hidden="0" customWidth="1"/>
    <x:col min="8" max="8" width="22" hidden="0" customWidth="1"/>
    <x:col min="9" max="9" width="24" hidden="0" customWidth="1"/>
    <x:col min="10" max="10" width="56" hidden="0" customWidth="1"/>
    <x:col min="11" max="11" width="22" hidden="0" customWidth="1"/>
    <x:col min="12" max="12" width="48" hidden="0" customWidth="1"/>
    <x:col min="13" max="13" width="54" hidden="0" customWidth="1"/>
    <x:col min="14" max="14" width="24" hidden="0" customWidth="1"/>
    <x:col min="15" max="15" width="30" hidden="0" customWidth="1"/>
    <x:col min="16" max="16" width="42" hidden="0" customWidth="1"/>
  </x:cols>
  <x:sheetData>
    <x:row r="1">
      <x:c r="A1" s="26" t="str">
        <x:v>Git_ID</x:v>
      </x:c>
      <x:c r="B1" s="26" t="str">
        <x:v>Repo</x:v>
      </x:c>
      <x:c r="C1" s="26" t="str">
        <x:v>Owner</x:v>
      </x:c>
      <x:c r="D1" s="26" t="str">
        <x:v>Commit_Date</x:v>
      </x:c>
      <x:c r="E1" s="26" t="str">
        <x:v>Full_SHA</x:v>
      </x:c>
      <x:c r="F1" s="26" t="str">
        <x:v>Short_SHA</x:v>
      </x:c>
      <x:c r="G1" s="26" t="str">
        <x:v>Commit_Message</x:v>
      </x:c>
      <x:c r="H1" s="26" t="str">
        <x:v>Milestone_Class</x:v>
      </x:c>
      <x:c r="I1" s="26" t="str">
        <x:v>Evidence_Grade</x:v>
      </x:c>
      <x:c r="J1" s="26" t="str">
        <x:v>Provenance_Significance</x:v>
      </x:c>
      <x:c r="K1" s="26" t="str">
        <x:v>Existing_Ledger_Crosslink</x:v>
      </x:c>
      <x:c r="L1" s="26" t="str">
        <x:v>Correction_or_Rejection</x:v>
      </x:c>
      <x:c r="M1" s="26" t="str">
        <x:v>Commit_URL</x:v>
      </x:c>
      <x:c r="N1" s="26" t="str">
        <x:v>Web_Source_Ref</x:v>
      </x:c>
      <x:c r="O1" s="26" t="str">
        <x:v>Selection_Basis</x:v>
      </x:c>
      <x:c r="P1" s="26" t="str">
        <x:v>Notes</x:v>
      </x:c>
    </x:row>
    <x:row r="2">
      <x:c r="A2" s="11" t="str">
        <x:v>VDM-G001</x:v>
      </x:c>
      <x:c r="B2" s="11" t="str">
        <x:v>VDM</x:v>
      </x:c>
      <x:c r="C2" s="11" t="str">
        <x:v>Neuroca-Inc</x:v>
      </x:c>
      <x:c r="D2" s="14" t="str">
        <x:v>2025-08-10</x:v>
      </x:c>
      <x:c r="E2" s="11" t="str">
        <x:v>30b20e205228160d085a0091936b28a52423126b</x:v>
      </x:c>
      <x:c r="F2" s="11" t="str">
        <x:v>30b20e2</x:v>
      </x:c>
      <x:c r="G2" s="11" t="str">
        <x:v>first commit</x:v>
      </x:c>
      <x:c r="H2" s="11" t="str">
        <x:v>BASELINE</x:v>
      </x:c>
      <x:c r="I2" s="11" t="str">
        <x:v>COMMIT-DETAIL-VERIFIED</x:v>
      </x:c>
      <x:c r="J2" s="11" t="str">
        <x:v>Earliest selected public Git baseline for the VDM repository; preserves the repository's early implementation lineage rather than reconstructing it retrospectively.</x:v>
      </x:c>
      <x:c r="K2" s="11" t="str"/>
      <x:c r="L2" s="11" t="str"/>
      <x:c r="M2" s="11" t="str">
        <x:v>https://github.com/Neuroca-Inc/VDM/commit/30b20e205228160d085a0091936b28a52423126b</x:v>
      </x:c>
      <x:c r="N2" s="11" t="str">
        <x:v>turn790433view0</x:v>
      </x:c>
      <x:c r="O2" s="11" t="str">
        <x:v>repository baseline</x:v>
      </x:c>
      <x:c r="P2" s="11" t="str">
        <x:v>Public Git commit date; separate from any earlier internal development chronology.</x:v>
      </x:c>
    </x:row>
    <x:row r="3">
      <x:c r="A3" s="11" t="str">
        <x:v>VDM-G002</x:v>
      </x:c>
      <x:c r="B3" s="11" t="str">
        <x:v>VDM</x:v>
      </x:c>
      <x:c r="C3" s="11" t="str">
        <x:v>Neuroca-Inc</x:v>
      </x:c>
      <x:c r="D3" s="14" t="str">
        <x:v>2025-10-31</x:v>
      </x:c>
      <x:c r="E3" s="11" t="str">
        <x:v>3d315e7bbabc0a2d1c2afa4ccc5a72d26c836559</x:v>
      </x:c>
      <x:c r="F3" s="11" t="str">
        <x:v>3d315e7</x:v>
      </x:c>
      <x:c r="G3" s="11" t="str">
        <x:v>Add A8 Candidate axiom for Lietz Infinity Resolution</x:v>
      </x:c>
      <x:c r="H3" s="11" t="str">
        <x:v>HYPOTHESIS</x:v>
      </x:c>
      <x:c r="I3" s="11" t="str">
        <x:v>COMMIT-DETAIL-VERIFIED</x:v>
      </x:c>
      <x:c r="J3" s="11" t="str">
        <x:v>Publicly records an A8 candidate axiom for the Lietz Infinity Resolution line before the later Phase Calculus program.</x:v>
      </x:c>
      <x:c r="K3" s="11" t="str"/>
      <x:c r="L3" s="11" t="str">
        <x:v>Candidate status is retained as candidate; not rewritten as a later theorem.</x:v>
      </x:c>
      <x:c r="M3" s="11" t="str">
        <x:v>https://github.com/Neuroca-Inc/VDM/commit/3d315e7bbabc0a2d1c2afa4ccc5a72d26c836559</x:v>
      </x:c>
      <x:c r="N3" s="11" t="str">
        <x:v>turn790433view1</x:v>
      </x:c>
      <x:c r="O3" s="11" t="str">
        <x:v>new hypothesis / precursor</x:v>
      </x:c>
      <x:c r="P3" s="11" t="str"/>
    </x:row>
    <x:row r="4">
      <x:c r="A4" s="11" t="str">
        <x:v>VDM-G003</x:v>
      </x:c>
      <x:c r="B4" s="11" t="str">
        <x:v>VDM</x:v>
      </x:c>
      <x:c r="C4" s="11" t="str">
        <x:v>Neuroca-Inc</x:v>
      </x:c>
      <x:c r="D4" s="14" t="str">
        <x:v>2025-11-28</x:v>
      </x:c>
      <x:c r="E4" s="11" t="str">
        <x:v>8210882c7838507b62e80d0e355e9617db1bd6d6</x:v>
      </x:c>
      <x:c r="F4" s="11" t="str">
        <x:v>8210882</x:v>
      </x:c>
      <x:c r="G4" s="11" t="str">
        <x:v>Add CF10 program documentation for lattice hydrodynamics</x:v>
      </x:c>
      <x:c r="H4" s="11" t="str">
        <x:v>PROGRAM</x:v>
      </x:c>
      <x:c r="I4" s="11" t="str">
        <x:v>COMMIT-DETAIL-VERIFIED</x:v>
      </x:c>
      <x:c r="J4" s="11" t="str">
        <x:v>Hard public Git provenance for the lattice-hydrodynamics / Navier-Stokes CF10 program in November 2025, months before the later Phase Calculus closure work.</x:v>
      </x:c>
      <x:c r="K4" s="11" t="str">
        <x:v>PC-0016</x:v>
      </x:c>
      <x:c r="L4" s="11" t="str"/>
      <x:c r="M4" s="11" t="str">
        <x:v>https://github.com/Neuroca-Inc/VDM/commit/8210882c7838507b62e80d0e355e9617db1bd6d6</x:v>
      </x:c>
      <x:c r="N4" s="11" t="str">
        <x:v>turn790433view2</x:v>
      </x:c>
      <x:c r="O4" s="11" t="str">
        <x:v>open-program milestone</x:v>
      </x:c>
      <x:c r="P4" s="11" t="str">
        <x:v>Commit date is the public Git event; internal manuscript dates remain a distinct evidence layer.</x:v>
      </x:c>
    </x:row>
    <x:row r="5">
      <x:c r="A5" s="11" t="str">
        <x:v>VDM-G004</x:v>
      </x:c>
      <x:c r="B5" s="11" t="str">
        <x:v>VDM</x:v>
      </x:c>
      <x:c r="C5" s="11" t="str">
        <x:v>Neuroca-Inc</x:v>
      </x:c>
      <x:c r="D5" s="14" t="str">
        <x:v>2025-11-30</x:v>
      </x:c>
      <x:c r="E5" s="11" t="str">
        <x:v>61ef199882b71494adad8a0e2e640a88b9c37e9a</x:v>
      </x:c>
      <x:c r="F5" s="11" t="str">
        <x:v>61ef199</x:v>
      </x:c>
      <x:c r="G5" s="11" t="str">
        <x:v>Updated CI to include both provenance index populator and hash updater</x:v>
      </x:c>
      <x:c r="H5" s="11" t="str">
        <x:v>PROVENANCE-INFRA</x:v>
      </x:c>
      <x:c r="I5" s="11" t="str">
        <x:v>COMMIT-DETAIL-VERIFIED</x:v>
      </x:c>
      <x:c r="J5" s="11" t="str">
        <x:v>Makes provenance indexing and hash maintenance part of the repository workflow rather than an after-the-fact archival step.</x:v>
      </x:c>
      <x:c r="K5" s="11" t="str"/>
      <x:c r="L5" s="11" t="str"/>
      <x:c r="M5" s="11" t="str">
        <x:v>https://github.com/Neuroca-Inc/VDM/commit/61ef199882b71494adad8a0e2e640a88b9c37e9a</x:v>
      </x:c>
      <x:c r="N5" s="11" t="str">
        <x:v>turn790433view11</x:v>
      </x:c>
      <x:c r="O5" s="11" t="str">
        <x:v>provenance infrastructure</x:v>
      </x:c>
      <x:c r="P5" s="11" t="str"/>
    </x:row>
    <x:row r="6">
      <x:c r="A6" s="11" t="str">
        <x:v>VDM-G005</x:v>
      </x:c>
      <x:c r="B6" s="11" t="str">
        <x:v>VDM</x:v>
      </x:c>
      <x:c r="C6" s="11" t="str">
        <x:v>Neuroca-Inc</x:v>
      </x:c>
      <x:c r="D6" s="14" t="str">
        <x:v>2026-03-01</x:v>
      </x:c>
      <x:c r="E6" s="11" t="str">
        <x:v>7fde0b0c60c8d8e629335e30b7eeb0f61e0fb678</x:v>
      </x:c>
      <x:c r="F6" s="11" t="str">
        <x:v>7fde0b0</x:v>
      </x:c>
      <x:c r="G6" s="11" t="str">
        <x:v>Update DIRECTIVE_Runtime_Physics_Migration_v8</x:v>
      </x:c>
      <x:c r="H6" s="11" t="str">
        <x:v>MIGRATION</x:v>
      </x:c>
      <x:c r="I6" s="11" t="str">
        <x:v>COMMIT-DETAIL-VERIFIED</x:v>
      </x:c>
      <x:c r="J6" s="11" t="str">
        <x:v>Marks the runtime-physics migration program as an explicit versioned directive in the public history.</x:v>
      </x:c>
      <x:c r="K6" s="11" t="str"/>
      <x:c r="L6" s="11" t="str"/>
      <x:c r="M6" s="11" t="str">
        <x:v>https://github.com/Neuroca-Inc/VDM/commit/7fde0b0c60c8d8e629335e30b7eeb0f61e0fb678</x:v>
      </x:c>
      <x:c r="N6" s="11" t="str">
        <x:v>turn790433view10</x:v>
      </x:c>
      <x:c r="O6" s="11" t="str">
        <x:v>architecture migration</x:v>
      </x:c>
      <x:c r="P6" s="11" t="str"/>
    </x:row>
    <x:row r="7">
      <x:c r="A7" s="11" t="str">
        <x:v>VDM-G006</x:v>
      </x:c>
      <x:c r="B7" s="11" t="str">
        <x:v>VDM</x:v>
      </x:c>
      <x:c r="C7" s="11" t="str">
        <x:v>Neuroca-Inc</x:v>
      </x:c>
      <x:c r="D7" s="14" t="str">
        <x:v>2026-03-13</x:v>
      </x:c>
      <x:c r="E7" s="11" t="str">
        <x:v>501b29ef20b2b4b120744e0957539d6af5570441</x:v>
      </x:c>
      <x:c r="F7" s="11" t="str">
        <x:v>501b29e</x:v>
      </x:c>
      <x:c r="G7" s="11" t="str">
        <x:v>Add Primitive Bifurcation Hypothesis (H000) details</x:v>
      </x:c>
      <x:c r="H7" s="11" t="str">
        <x:v>HYPOTHESIS</x:v>
      </x:c>
      <x:c r="I7" s="11" t="str">
        <x:v>COMMIT-DETAIL-VERIFIED</x:v>
      </x:c>
      <x:c r="J7" s="11" t="str">
        <x:v>Publicly records the Primitive Bifurcation Hypothesis as a hypothesis-stage object immediately before CF000-era foundational work.</x:v>
      </x:c>
      <x:c r="K7" s="11" t="str">
        <x:v>PC-0001</x:v>
      </x:c>
      <x:c r="L7" s="11" t="str">
        <x:v>Hypothesis status preserved.</x:v>
      </x:c>
      <x:c r="M7" s="11" t="str">
        <x:v>https://github.com/Neuroca-Inc/VDM/commit/501b29ef20b2b4b120744e0957539d6af5570441</x:v>
      </x:c>
      <x:c r="N7" s="11" t="str">
        <x:v>turn790433view3</x:v>
      </x:c>
      <x:c r="O7" s="11" t="str">
        <x:v>foundational hypothesis</x:v>
      </x:c>
      <x:c r="P7" s="11" t="str"/>
    </x:row>
    <x:row r="8">
      <x:c r="A8" s="11" t="str">
        <x:v>VDM-G007</x:v>
      </x:c>
      <x:c r="B8" s="11" t="str">
        <x:v>VDM</x:v>
      </x:c>
      <x:c r="C8" s="11" t="str">
        <x:v>Neuroca-Inc</x:v>
      </x:c>
      <x:c r="D8" s="14" t="str">
        <x:v>2026-03-14</x:v>
      </x:c>
      <x:c r="E8" s="11" t="str">
        <x:v>47b8eb164b07ae116b2174fa0a46091764e849eb</x:v>
      </x:c>
      <x:c r="F8" s="11" t="str">
        <x:v>47b8eb1</x:v>
      </x:c>
      <x:c r="G8" s="11" t="str">
        <x:v>Update CF000_Primitive_Distinguishability_and_the_Origin_of_Differentiability.md</x:v>
      </x:c>
      <x:c r="H8" s="11" t="str">
        <x:v>FOUNDATION</x:v>
      </x:c>
      <x:c r="I8" s="11" t="str">
        <x:v>COMMIT-DETAIL-VERIFIED</x:v>
      </x:c>
      <x:c r="J8" s="11" t="str">
        <x:v>Public Git evidence for active CF000 primitive-distinguishability development at the start of the documented Phase Calculus ancestry.</x:v>
      </x:c>
      <x:c r="K8" s="11" t="str">
        <x:v>PC-0001</x:v>
      </x:c>
      <x:c r="L8" s="11" t="str"/>
      <x:c r="M8" s="11" t="str">
        <x:v>https://github.com/Neuroca-Inc/VDM/commit/47b8eb164b07ae116b2174fa0a46091764e849eb</x:v>
      </x:c>
      <x:c r="N8" s="11" t="str">
        <x:v>turn790433view4</x:v>
      </x:c>
      <x:c r="O8" s="11" t="str">
        <x:v>foundational theorem development</x:v>
      </x:c>
      <x:c r="P8" s="11" t="str"/>
    </x:row>
    <x:row r="9">
      <x:c r="A9" s="11" t="str">
        <x:v>VDM-G008</x:v>
      </x:c>
      <x:c r="B9" s="11" t="str">
        <x:v>VDM</x:v>
      </x:c>
      <x:c r="C9" s="11" t="str">
        <x:v>Neuroca-Inc</x:v>
      </x:c>
      <x:c r="D9" s="14" t="str">
        <x:v>2026-03-20</x:v>
      </x:c>
      <x:c r="E9" s="11" t="str">
        <x:v>a1b6010a98c66fe4f610eb6fbedf90ef58ce5edf</x:v>
      </x:c>
      <x:c r="F9" s="11" t="str">
        <x:v>a1b6010</x:v>
      </x:c>
      <x:c r="G9" s="11" t="str">
        <x:v>Create VDM_Canon_Ledger_DRAFT.md</x:v>
      </x:c>
      <x:c r="H9" s="11" t="str">
        <x:v>CANON</x:v>
      </x:c>
      <x:c r="I9" s="11" t="str">
        <x:v>COMMIT-DETAIL-VERIFIED</x:v>
      </x:c>
      <x:c r="J9" s="11" t="str">
        <x:v>Introduces an explicit canon ledger into the public repository, preserving claim-status and authority-boundary work as a first-class artifact.</x:v>
      </x:c>
      <x:c r="K9" s="11" t="str">
        <x:v>PC-0001</x:v>
      </x:c>
      <x:c r="L9" s="11" t="str"/>
      <x:c r="M9" s="11" t="str">
        <x:v>https://github.com/Neuroca-Inc/VDM/commit/a1b6010a98c66fe4f610eb6fbedf90ef58ce5edf</x:v>
      </x:c>
      <x:c r="N9" s="11" t="str">
        <x:v>turn790433view5</x:v>
      </x:c>
      <x:c r="O9" s="11" t="str">
        <x:v>canon / custody infrastructure</x:v>
      </x:c>
      <x:c r="P9" s="11" t="str"/>
    </x:row>
    <x:row r="10">
      <x:c r="A10" s="11" t="str">
        <x:v>VDM-G009</x:v>
      </x:c>
      <x:c r="B10" s="11" t="str">
        <x:v>VDM</x:v>
      </x:c>
      <x:c r="C10" s="11" t="str">
        <x:v>Neuroca-Inc</x:v>
      </x:c>
      <x:c r="D10" s="14" t="str">
        <x:v>2026-03-21</x:v>
      </x:c>
      <x:c r="E10" s="11" t="str">
        <x:v>3268e338fa207af6f9205e14d019be7333697237</x:v>
      </x:c>
      <x:c r="F10" s="11" t="str">
        <x:v>3268e33</x:v>
      </x:c>
      <x:c r="G10" s="11" t="str">
        <x:v>Create A_minus_one_Primitive_Kernel.md</x:v>
      </x:c>
      <x:c r="H10" s="11" t="str">
        <x:v>FOUNDATION</x:v>
      </x:c>
      <x:c r="I10" s="11" t="str">
        <x:v>COMMIT-DETAIL-VERIFIED</x:v>
      </x:c>
      <x:c r="J10" s="11" t="str">
        <x:v>Adds a named primitive-kernel artifact immediately upstream of the Farey / CF19 Phase Calculus development window.</x:v>
      </x:c>
      <x:c r="K10" s="11" t="str">
        <x:v>PC-0001</x:v>
      </x:c>
      <x:c r="L10" s="11" t="str"/>
      <x:c r="M10" s="11" t="str">
        <x:v>https://github.com/Neuroca-Inc/VDM/commit/3268e338fa207af6f9205e14d019be7333697237</x:v>
      </x:c>
      <x:c r="N10" s="11" t="str">
        <x:v>turn790433view6</x:v>
      </x:c>
      <x:c r="O10" s="11" t="str">
        <x:v>primitive-kernel milestone</x:v>
      </x:c>
      <x:c r="P10" s="11" t="str"/>
    </x:row>
    <x:row r="11">
      <x:c r="A11" s="11" t="str">
        <x:v>VDM-G010</x:v>
      </x:c>
      <x:c r="B11" s="11" t="str">
        <x:v>VDM</x:v>
      </x:c>
      <x:c r="C11" s="11" t="str">
        <x:v>Neuroca-Inc</x:v>
      </x:c>
      <x:c r="D11" s="14" t="str">
        <x:v>2026-03-22</x:v>
      </x:c>
      <x:c r="E11" s="11" t="str">
        <x:v>c648922a3a1a63c99af1aee21f918ca52d00d8c2</x:v>
      </x:c>
      <x:c r="F11" s="11" t="str">
        <x:v>c648922</x:v>
      </x:c>
      <x:c r="G11" s="11" t="str">
        <x:v>Update VDM_Assembly_Runtime_Specification.md</x:v>
      </x:c>
      <x:c r="H11" s="11" t="str">
        <x:v>IMPLEMENTATION</x:v>
      </x:c>
      <x:c r="I11" s="11" t="str">
        <x:v>COMMIT-DETAIL-VERIFIED</x:v>
      </x:c>
      <x:c r="J11" s="11" t="str">
        <x:v>Publicly timestamps the assembly-runtime specification during the same period in which the formal primitive program was being consolidated.</x:v>
      </x:c>
      <x:c r="K11" s="11" t="str"/>
      <x:c r="L11" s="11" t="str"/>
      <x:c r="M11" s="11" t="str">
        <x:v>https://github.com/Neuroca-Inc/VDM/commit/c648922a3a1a63c99af1aee21f918ca52d00d8c2</x:v>
      </x:c>
      <x:c r="N11" s="11" t="str">
        <x:v>turn790433view7</x:v>
      </x:c>
      <x:c r="O11" s="11" t="str">
        <x:v>implementation authority boundary</x:v>
      </x:c>
      <x:c r="P11" s="11" t="str"/>
    </x:row>
    <x:row r="12">
      <x:c r="A12" s="11" t="str">
        <x:v>VDM-G011</x:v>
      </x:c>
      <x:c r="B12" s="11" t="str">
        <x:v>VDM</x:v>
      </x:c>
      <x:c r="C12" s="11" t="str">
        <x:v>Neuroca-Inc</x:v>
      </x:c>
      <x:c r="D12" s="14" t="str">
        <x:v>2026-04-13</x:v>
      </x:c>
      <x:c r="E12" s="11" t="str">
        <x:v>61562ec6ea416272c237411cb761dea24f116689</x:v>
      </x:c>
      <x:c r="F12" s="11" t="str">
        <x:v>61562ec</x:v>
      </x:c>
      <x:c r="G12" s="11" t="str">
        <x:v>Added several CF notebooks, and updated vdm rt v9 with raw logs and analysis</x:v>
      </x:c>
      <x:c r="H12" s="11" t="str">
        <x:v>VERIFICATION</x:v>
      </x:c>
      <x:c r="I12" s="11" t="str">
        <x:v>COMMIT-DETAIL-VERIFIED</x:v>
      </x:c>
      <x:c r="J12" s="11" t="str">
        <x:v>Links formal CF development to executable notebooks and raw runtime evidence in one public commit.</x:v>
      </x:c>
      <x:c r="K12" s="11" t="str"/>
      <x:c r="L12" s="11" t="str"/>
      <x:c r="M12" s="11" t="str">
        <x:v>https://github.com/Neuroca-Inc/VDM/commit/61562ec6ea416272c237411cb761dea24f116689</x:v>
      </x:c>
      <x:c r="N12" s="11" t="str">
        <x:v>turn790433view8</x:v>
      </x:c>
      <x:c r="O12" s="11" t="str">
        <x:v>evidence / reproducibility milestone</x:v>
      </x:c>
      <x:c r="P12" s="11" t="str"/>
    </x:row>
    <x:row r="13">
      <x:c r="A13" s="11" t="str">
        <x:v>VDM-G012</x:v>
      </x:c>
      <x:c r="B13" s="11" t="str">
        <x:v>VDM</x:v>
      </x:c>
      <x:c r="C13" s="11" t="str">
        <x:v>Neuroca-Inc</x:v>
      </x:c>
      <x:c r="D13" s="14" t="str">
        <x:v>2026-04-24</x:v>
      </x:c>
      <x:c r="E13" s="11" t="str">
        <x:v>04764ed6db0dacb7cafcbb68ebea5ab75220c52a</x:v>
      </x:c>
      <x:c r="F13" s="11" t="str">
        <x:v>04764ed</x:v>
      </x:c>
      <x:c r="G13" s="11" t="str">
        <x:v>Update README with Lean4 repository information</x:v>
      </x:c>
      <x:c r="H13" s="11" t="str">
        <x:v>VERIFICATION-INFRA</x:v>
      </x:c>
      <x:c r="I13" s="11" t="str">
        <x:v>COMMIT-DETAIL-VERIFIED</x:v>
      </x:c>
      <x:c r="J13" s="11" t="str">
        <x:v>Publicly links the VDM repository surface to Lean 4 formal-verification material.</x:v>
      </x:c>
      <x:c r="K13" s="11" t="str"/>
      <x:c r="L13" s="11" t="str"/>
      <x:c r="M13" s="11" t="str">
        <x:v>https://github.com/Neuroca-Inc/VDM/commit/04764ed6db0dacb7cafcbb68ebea5ab75220c52a</x:v>
      </x:c>
      <x:c r="N13" s="11" t="str">
        <x:v>turn790433view9</x:v>
      </x:c>
      <x:c r="O13" s="11" t="str">
        <x:v>formal verification infrastructure</x:v>
      </x:c>
      <x:c r="P13" s="11" t="str"/>
    </x:row>
    <x:row r="14">
      <x:c r="A14" s="11" t="str">
        <x:v>PBL-G001</x:v>
      </x:c>
      <x:c r="B14" s="11" t="str">
        <x:v>primitive_bifurcation_law_VDM</x:v>
      </x:c>
      <x:c r="C14" s="11" t="str">
        <x:v>justinlietz93</x:v>
      </x:c>
      <x:c r="D14" s="14" t="str">
        <x:v>2026-03-23</x:v>
      </x:c>
      <x:c r="E14" s="11" t="str">
        <x:v>47b40aa6305632e4a4115efd078f173c90e7ac6a</x:v>
      </x:c>
      <x:c r="F14" s="11" t="str">
        <x:v>47b40aa</x:v>
      </x:c>
      <x:c r="G14" s="11" t="str">
        <x:v>Create origin_operator_discriminator.md</x:v>
      </x:c>
      <x:c r="H14" s="11" t="str">
        <x:v>CORRECTION/EXPERIMENT</x:v>
      </x:c>
      <x:c r="I14" s="11" t="str">
        <x:v>COMMIT-DETAIL-VERIFIED</x:v>
      </x:c>
      <x:c r="J14" s="11" t="str">
        <x:v>The commit explicitly identifies why an earlier executable-choke test was insufficient, replaces it with a corrected successor-opcode discriminator, and records immediate local executable-class admission.</x:v>
      </x:c>
      <x:c r="K14" s="11" t="str">
        <x:v>PC-0001</x:v>
      </x:c>
      <x:c r="L14" s="11" t="str">
        <x:v>Earlier LOCK CMPXCHG choke was retained as a host-pressure witness but rejected as sufficient proof of executed instruction-class change.</x:v>
      </x:c>
      <x:c r="M14" s="11" t="str">
        <x:v>https://github.com/justinlietz93/primitive_bifurcation_law_VDM/commit/47b40aa6305632e4a4115efd078f173c90e7ac6a</x:v>
      </x:c>
      <x:c r="N14" s="11" t="str">
        <x:v>turn588175view0</x:v>
      </x:c>
      <x:c r="O14" s="11" t="str">
        <x:v>explicit correction + stronger discriminator</x:v>
      </x:c>
      <x:c r="P14" s="11" t="str">
        <x:v>One of the strongest provenance rows because the failed interpretation is documented inside the correcting commit.</x:v>
      </x:c>
    </x:row>
    <x:row r="15">
      <x:c r="A15" s="11" t="str">
        <x:v>PBL-G002</x:v>
      </x:c>
      <x:c r="B15" s="11" t="str">
        <x:v>primitive_bifurcation_law_VDM</x:v>
      </x:c>
      <x:c r="C15" s="11" t="str">
        <x:v>justinlietz93</x:v>
      </x:c>
      <x:c r="D15" s="14" t="str">
        <x:v>2026-03-23</x:v>
      </x:c>
      <x:c r="E15" s="11" t="str">
        <x:v>723573ac05a817bd5b0b49850347eef176250356</x:v>
      </x:c>
      <x:c r="F15" s="11" t="str">
        <x:v>723573a</x:v>
      </x:c>
      <x:c r="G15" s="11" t="str">
        <x:v>Delete a_minus_1_programmable_reference.md</x:v>
      </x:c>
      <x:c r="H15" s="11" t="str">
        <x:v>CORRECTION/REJECTION</x:v>
      </x:c>
      <x:c r="I15" s="11" t="str">
        <x:v>COMMIT-DETAIL-VERIFIED</x:v>
      </x:c>
      <x:c r="J15" s="11" t="str">
        <x:v>Publicly records removal of a 410-line programmable-reference artifact during the primitive-bifurcation investigation.</x:v>
      </x:c>
      <x:c r="K15" s="11" t="str">
        <x:v>PC-0001</x:v>
      </x:c>
      <x:c r="L15" s="11" t="str">
        <x:v>Artifact removed from the repository history; the commit itself does not state the mathematical reason.</x:v>
      </x:c>
      <x:c r="M15" s="11" t="str">
        <x:v>https://github.com/justinlietz93/primitive_bifurcation_law_VDM/commit/723573ac05a817bd5b0b49850347eef176250356</x:v>
      </x:c>
      <x:c r="N15" s="11" t="str">
        <x:v>turn588175view1</x:v>
      </x:c>
      <x:c r="O15" s="11" t="str">
        <x:v>explicit removal / negative provenance</x:v>
      </x:c>
      <x:c r="P15" s="11" t="str">
        <x:v>Do not infer a reason beyond the deletion without another source.</x:v>
      </x:c>
    </x:row>
    <x:row r="16">
      <x:c r="A16" s="11" t="str">
        <x:v>PBL-G003</x:v>
      </x:c>
      <x:c r="B16" s="11" t="str">
        <x:v>primitive_bifurcation_law_VDM</x:v>
      </x:c>
      <x:c r="C16" s="11" t="str">
        <x:v>justinlietz93</x:v>
      </x:c>
      <x:c r="D16" s="14" t="str">
        <x:v>2026-03-23</x:v>
      </x:c>
      <x:c r="E16" s="11" t="str">
        <x:v>ab558fbba7748a4b2ffb0d6ff2839014a5666fb5</x:v>
      </x:c>
      <x:c r="F16" s="11" t="str">
        <x:v>ab558fb</x:v>
      </x:c>
      <x:c r="G16" s="11" t="str">
        <x:v>Update Mathematical and Computational Generative Structures and Formulas - Table 1.csv</x:v>
      </x:c>
      <x:c r="H16" s="11" t="str">
        <x:v>REFERENCE/CANON</x:v>
      </x:c>
      <x:c r="I16" s="11" t="str">
        <x:v>COMMIT-DETAIL-VERIFIED</x:v>
      </x:c>
      <x:c r="J16" s="11" t="str">
        <x:v>Updates the structured mathematical/computational reference table used during the primitive-generative investigation.</x:v>
      </x:c>
      <x:c r="K16" s="11" t="str">
        <x:v>PC-0001</x:v>
      </x:c>
      <x:c r="L16" s="11" t="str"/>
      <x:c r="M16" s="11" t="str">
        <x:v>https://github.com/justinlietz93/primitive_bifurcation_law_VDM/commit/ab558fbba7748a4b2ffb0d6ff2839014a5666fb5</x:v>
      </x:c>
      <x:c r="N16" s="11" t="str">
        <x:v>turn588175view2</x:v>
      </x:c>
      <x:c r="O16" s="11" t="str">
        <x:v>structured reference update</x:v>
      </x:c>
      <x:c r="P16" s="11" t="str">
        <x:v>Selected because it changes the mathematical reference surface, not merely repository housekeeping.</x:v>
      </x:c>
    </x:row>
    <x:row r="17">
      <x:c r="A17" s="11" t="str">
        <x:v>TAO-G001</x:v>
      </x:c>
      <x:c r="B17" s="11" t="str">
        <x:v>Taoism-Mathematics-Research-Project-Internal</x:v>
      </x:c>
      <x:c r="C17" s="11" t="str">
        <x:v>justinlietz93</x:v>
      </x:c>
      <x:c r="D17" s="14" t="str">
        <x:v>2026-06-26</x:v>
      </x:c>
      <x:c r="E17" s="11" t="str">
        <x:v>b66f45a7081dd1f2eaa96b83ce04a0b06f6a5b4d</x:v>
      </x:c>
      <x:c r="F17" s="11" t="str">
        <x:v>b66f45a</x:v>
      </x:c>
      <x:c r="G17" s="11" t="str">
        <x:v>begin phase 5 v8</x:v>
      </x:c>
      <x:c r="H17" s="11" t="str">
        <x:v>DERIVATION</x:v>
      </x:c>
      <x:c r="I17" s="11" t="str">
        <x:v>COMMIT-DETAIL-VERIFIED</x:v>
      </x:c>
      <x:c r="J17" s="11" t="str">
        <x:v>Marks the start of the Phase 5 v8 branch that later accumulates the audited QBL/Orthad results.</x:v>
      </x:c>
      <x:c r="K17" s="11" t="str">
        <x:v>PC-0013</x:v>
      </x:c>
      <x:c r="L17" s="11" t="str"/>
      <x:c r="M17" s="11" t="str">
        <x:v>https://github.com/justinlietz93/Taoism-Mathematics-Research-Project-Internal/commit/b66f45a7081dd1f2eaa96b83ce04a0b06f6a5b4d</x:v>
      </x:c>
      <x:c r="N17" s="11" t="str">
        <x:v>turn252464view9</x:v>
      </x:c>
      <x:c r="O17" s="11" t="str">
        <x:v>new derivation phase</x:v>
      </x:c>
      <x:c r="P17" s="11" t="str"/>
    </x:row>
    <x:row r="18">
      <x:c r="A18" s="11" t="str">
        <x:v>TAO-G002</x:v>
      </x:c>
      <x:c r="B18" s="11" t="str">
        <x:v>Taoism-Mathematics-Research-Project-Internal</x:v>
      </x:c>
      <x:c r="C18" s="11" t="str">
        <x:v>justinlietz93</x:v>
      </x:c>
      <x:c r="D18" s="14" t="str">
        <x:v>2026-07-08</x:v>
      </x:c>
      <x:c r="E18" s="11" t="str">
        <x:v>7286d670e2c12ab54ff6c6d07c1ebebf7aecd1ab</x:v>
      </x:c>
      <x:c r="F18" s="11" t="str">
        <x:v>7286d67</x:v>
      </x:c>
      <x:c r="G18" s="11" t="str">
        <x:v>Add PHASE 5 CANONICAL LEDGER with comprehensive documentation and status tracking</x:v>
      </x:c>
      <x:c r="H18" s="11" t="str">
        <x:v>CANON</x:v>
      </x:c>
      <x:c r="I18" s="11" t="str">
        <x:v>COMMIT-DETAIL-VERIFIED</x:v>
      </x:c>
      <x:c r="J18" s="11" t="str">
        <x:v>Makes Phase 5 claim status, custody, and canonical tracking explicit inside the Git history.</x:v>
      </x:c>
      <x:c r="K18" s="11" t="str">
        <x:v>PC-0013</x:v>
      </x:c>
      <x:c r="L18" s="11" t="str"/>
      <x:c r="M18" s="11" t="str">
        <x:v>https://github.com/justinlietz93/Taoism-Mathematics-Research-Project-Internal/commit/7286d670e2c12ab54ff6c6d07c1ebebf7aecd1ab</x:v>
      </x:c>
      <x:c r="N18" s="11" t="str">
        <x:v>turn252464view8</x:v>
      </x:c>
      <x:c r="O18" s="11" t="str">
        <x:v>canonization / custody</x:v>
      </x:c>
      <x:c r="P18" s="11" t="str"/>
    </x:row>
    <x:row r="19">
      <x:c r="A19" s="11" t="str">
        <x:v>TAO-G003</x:v>
      </x:c>
      <x:c r="B19" s="11" t="str">
        <x:v>Taoism-Mathematics-Research-Project-Internal</x:v>
      </x:c>
      <x:c r="C19" s="11" t="str">
        <x:v>justinlietz93</x:v>
      </x:c>
      <x:c r="D19" s="14" t="str">
        <x:v>2026-07-09</x:v>
      </x:c>
      <x:c r="E19" s="11" t="str">
        <x:v>676ca6330ceaa09255e28c303697d294185a6d7c</x:v>
      </x:c>
      <x:c r="F19" s="11" t="str">
        <x:v>676ca63</x:v>
      </x:c>
      <x:c r="G19" s="11" t="str">
        <x:v>Added Phase 5 v8d orthad generated fqm subclass</x:v>
      </x:c>
      <x:c r="H19" s="11" t="str">
        <x:v>ORTHAD</x:v>
      </x:c>
      <x:c r="I19" s="11" t="str">
        <x:v>COMMIT-DETAIL-VERIFIED</x:v>
      </x:c>
      <x:c r="J19" s="11" t="str">
        <x:v>Public commit milestone showing Orthad-generated FQM structure entering the Phase 5 investigation.</x:v>
      </x:c>
      <x:c r="K19" s="11" t="str">
        <x:v>PC-0012;PC-0013</x:v>
      </x:c>
      <x:c r="L19" s="11" t="str"/>
      <x:c r="M19" s="11" t="str">
        <x:v>https://github.com/justinlietz93/Taoism-Mathematics-Research-Project-Internal/commit/676ca6330ceaa09255e28c303697d294185a6d7c</x:v>
      </x:c>
      <x:c r="N19" s="11" t="str">
        <x:v>turn252464view7</x:v>
      </x:c>
      <x:c r="O19" s="11" t="str">
        <x:v>Orthad structural development</x:v>
      </x:c>
      <x:c r="P19" s="11" t="str"/>
    </x:row>
    <x:row r="20">
      <x:c r="A20" s="11" t="str">
        <x:v>TAO-G004</x:v>
      </x:c>
      <x:c r="B20" s="11" t="str">
        <x:v>Taoism-Mathematics-Research-Project-Internal</x:v>
      </x:c>
      <x:c r="C20" s="11" t="str">
        <x:v>justinlietz93</x:v>
      </x:c>
      <x:c r="D20" s="14" t="str">
        <x:v>2026-07-10</x:v>
      </x:c>
      <x:c r="E20" s="11" t="str">
        <x:v>1be580904fb6e66b8cf09bb2415ea9bedda3d9d6</x:v>
      </x:c>
      <x:c r="F20" s="11" t="str">
        <x:v>1be5809</x:v>
      </x:c>
      <x:c r="G20" s="11" t="str">
        <x:v>Add verification script and update sealed JSON files for Phase 5</x:v>
      </x:c>
      <x:c r="H20" s="11" t="str">
        <x:v>VERIFICATION</x:v>
      </x:c>
      <x:c r="I20" s="11" t="str">
        <x:v>COMMIT-DETAIL-VERIFIED</x:v>
      </x:c>
      <x:c r="J20" s="11" t="str">
        <x:v>Adds executable verification while updating sealed evidence artifacts, strengthening reproducibility and custody.</x:v>
      </x:c>
      <x:c r="K20" s="11" t="str">
        <x:v>PC-0013</x:v>
      </x:c>
      <x:c r="L20" s="11" t="str"/>
      <x:c r="M20" s="11" t="str">
        <x:v>https://github.com/justinlietz93/Taoism-Mathematics-Research-Project-Internal/commit/1be580904fb6e66b8cf09bb2415ea9bedda3d9d6</x:v>
      </x:c>
      <x:c r="N20" s="11" t="str">
        <x:v>turn252464view6</x:v>
      </x:c>
      <x:c r="O20" s="11" t="str">
        <x:v>verification + sealed evidence</x:v>
      </x:c>
      <x:c r="P20" s="11" t="str"/>
    </x:row>
    <x:row r="21">
      <x:c r="A21" s="11" t="str">
        <x:v>TAO-G005</x:v>
      </x:c>
      <x:c r="B21" s="11" t="str">
        <x:v>Taoism-Mathematics-Research-Project-Internal</x:v>
      </x:c>
      <x:c r="C21" s="11" t="str">
        <x:v>justinlietz93</x:v>
      </x:c>
      <x:c r="D21" s="14" t="str">
        <x:v>2026-07-10</x:v>
      </x:c>
      <x:c r="E21" s="11" t="str">
        <x:v>d0dd6d2e5fa228a8c57f8decffe45e6a116ec1a1</x:v>
      </x:c>
      <x:c r="F21" s="11" t="str">
        <x:v>d0dd6d2</x:v>
      </x:c>
      <x:c r="G21" s="11" t="str">
        <x:v>Add new source files and data for Phase 5 v8m external audit and core radical purity diagnosis</x:v>
      </x:c>
      <x:c r="H21" s="11" t="str">
        <x:v>AUDIT</x:v>
      </x:c>
      <x:c r="I21" s="11" t="str">
        <x:v>COMMIT-DETAIL-VERIFIED</x:v>
      </x:c>
      <x:c r="J21" s="11" t="str">
        <x:v>Creates an explicit external-audit and diagnostic evidence layer inside the derivation branch.</x:v>
      </x:c>
      <x:c r="K21" s="11" t="str">
        <x:v>PC-0013</x:v>
      </x:c>
      <x:c r="L21" s="11" t="str"/>
      <x:c r="M21" s="11" t="str">
        <x:v>https://github.com/justinlietz93/Taoism-Mathematics-Research-Project-Internal/commit/d0dd6d2e5fa228a8c57f8decffe45e6a116ec1a1</x:v>
      </x:c>
      <x:c r="N21" s="11" t="str">
        <x:v>turn252464view5</x:v>
      </x:c>
      <x:c r="O21" s="11" t="str">
        <x:v>external audit / diagnosis</x:v>
      </x:c>
      <x:c r="P21" s="11" t="str"/>
    </x:row>
    <x:row r="22">
      <x:c r="A22" s="11" t="str">
        <x:v>TAO-G006</x:v>
      </x:c>
      <x:c r="B22" s="11" t="str">
        <x:v>Taoism-Mathematics-Research-Project-Internal</x:v>
      </x:c>
      <x:c r="C22" s="11" t="str">
        <x:v>justinlietz93</x:v>
      </x:c>
      <x:c r="D22" s="14" t="str">
        <x:v>2026-07-11</x:v>
      </x:c>
      <x:c r="E22" s="11" t="str">
        <x:v>1c3ce406daeeeb8b2af1e39ee5dd5cdcad3361c8</x:v>
      </x:c>
      <x:c r="F22" s="11" t="str">
        <x:v>1c3ce40</x:v>
      </x:c>
      <x:c r="G22" s="11" t="str">
        <x:v>Add QBL Prime-Pattern Watch package with scanner and documentation</x:v>
      </x:c>
      <x:c r="H22" s="11" t="str">
        <x:v>EXPERIMENT</x:v>
      </x:c>
      <x:c r="I22" s="11" t="str">
        <x:v>COMMIT-DETAIL-VERIFIED</x:v>
      </x:c>
      <x:c r="J22" s="11" t="str">
        <x:v>Adds a dedicated QBL scanning/watch package as a falsifiable empirical instrument rather than a prose-only observation.</x:v>
      </x:c>
      <x:c r="K22" s="11" t="str">
        <x:v>PC-0013</x:v>
      </x:c>
      <x:c r="L22" s="11" t="str"/>
      <x:c r="M22" s="11" t="str">
        <x:v>https://github.com/justinlietz93/Taoism-Mathematics-Research-Project-Internal/commit/1c3ce406daeeeb8b2af1e39ee5dd5cdcad3361c8</x:v>
      </x:c>
      <x:c r="N22" s="11" t="str">
        <x:v>turn839169view1</x:v>
      </x:c>
      <x:c r="O22" s="11" t="str">
        <x:v>instrument / observational test</x:v>
      </x:c>
      <x:c r="P22" s="11" t="str"/>
    </x:row>
    <x:row r="23">
      <x:c r="A23" s="11" t="str">
        <x:v>TAO-G007</x:v>
      </x:c>
      <x:c r="B23" s="11" t="str">
        <x:v>Taoism-Mathematics-Research-Project-Internal</x:v>
      </x:c>
      <x:c r="C23" s="11" t="str">
        <x:v>justinlietz93</x:v>
      </x:c>
      <x:c r="D23" s="14" t="str">
        <x:v>2026-07-11</x:v>
      </x:c>
      <x:c r="E23" s="11" t="str">
        <x:v>e2d4353cefcf373d3613292c98001030944640c4</x:v>
      </x:c>
      <x:c r="F23" s="11" t="str">
        <x:v>e2d4353</x:v>
      </x:c>
      <x:c r="G23" s="11" t="str">
        <x:v>Recurrent grammar emergence</x:v>
      </x:c>
      <x:c r="H23" s="11" t="str">
        <x:v>DERIVATION</x:v>
      </x:c>
      <x:c r="I23" s="11" t="str">
        <x:v>COMMIT-DETAIL-VERIFIED</x:v>
      </x:c>
      <x:c r="J23" s="11" t="str">
        <x:v>A high-value Phase 5 milestone: the commit contains recurrent-grammar derivation artifacts, QBL carry-J work, audits, formal proofs, and negative-control material.</x:v>
      </x:c>
      <x:c r="K23" s="11" t="str">
        <x:v>PC-0013;PC-0018</x:v>
      </x:c>
      <x:c r="L23" s="11" t="str"/>
      <x:c r="M23" s="11" t="str">
        <x:v>https://github.com/justinlietz93/Taoism-Mathematics-Research-Project-Internal/commit/e2d4353cefcf373d3613292c98001030944640c4</x:v>
      </x:c>
      <x:c r="N23" s="11" t="str">
        <x:v>turn839169view0</x:v>
      </x:c>
      <x:c r="O23" s="11" t="str">
        <x:v>derivation closure / recurrent grammar</x:v>
      </x:c>
      <x:c r="P23" s="11" t="str"/>
    </x:row>
    <x:row r="24">
      <x:c r="A24" s="11" t="str">
        <x:v>TAO-G008</x:v>
      </x:c>
      <x:c r="B24" s="11" t="str">
        <x:v>Taoism-Mathematics-Research-Project-Internal</x:v>
      </x:c>
      <x:c r="C24" s="11" t="str">
        <x:v>justinlietz93</x:v>
      </x:c>
      <x:c r="D24" s="14" t="str">
        <x:v>2026-07-11</x:v>
      </x:c>
      <x:c r="E24" s="11" t="str">
        <x:v>0c48cc1f76cd101fd63032ad0c1a331932e511e2</x:v>
      </x:c>
      <x:c r="F24" s="11" t="str">
        <x:v>0c48cc1</x:v>
      </x:c>
      <x:c r="G24" s="11" t="str">
        <x:v>Add scripts for threshold derivation and package verification</x:v>
      </x:c>
      <x:c r="H24" s="11" t="str">
        <x:v>VERIFICATION</x:v>
      </x:c>
      <x:c r="I24" s="11" t="str">
        <x:v>COMMIT-DETAIL-VERIFIED</x:v>
      </x:c>
      <x:c r="J24" s="11" t="str">
        <x:v>Makes threshold derivation executable and pairs it with package verification.</x:v>
      </x:c>
      <x:c r="K24" s="11" t="str">
        <x:v>PC-0018</x:v>
      </x:c>
      <x:c r="L24" s="11" t="str"/>
      <x:c r="M24" s="11" t="str">
        <x:v>https://github.com/justinlietz93/Taoism-Mathematics-Research-Project-Internal/commit/0c48cc1f76cd101fd63032ad0c1a331932e511e2</x:v>
      </x:c>
      <x:c r="N24" s="11" t="str">
        <x:v>turn252464view3</x:v>
      </x:c>
      <x:c r="O24" s="11" t="str">
        <x:v>threshold derivation + verification</x:v>
      </x:c>
      <x:c r="P24" s="11" t="str"/>
    </x:row>
    <x:row r="25">
      <x:c r="A25" s="11" t="str">
        <x:v>TAO-G009</x:v>
      </x:c>
      <x:c r="B25" s="11" t="str">
        <x:v>Taoism-Mathematics-Research-Project-Internal</x:v>
      </x:c>
      <x:c r="C25" s="11" t="str">
        <x:v>justinlietz93</x:v>
      </x:c>
      <x:c r="D25" s="14" t="str">
        <x:v>2026-07-11</x:v>
      </x:c>
      <x:c r="E25" s="11" t="str">
        <x:v>faf3d7709ac2322d4f316e224ad750929c34646d</x:v>
      </x:c>
      <x:c r="F25" s="11" t="str">
        <x:v>faf3d77</x:v>
      </x:c>
      <x:c r="G25" s="11" t="str">
        <x:v>Add trace logs for factor derivation and induction proof</x:v>
      </x:c>
      <x:c r="H25" s="11" t="str">
        <x:v>PROOF-TRACE</x:v>
      </x:c>
      <x:c r="I25" s="11" t="str">
        <x:v>COMMIT-DETAIL-VERIFIED</x:v>
      </x:c>
      <x:c r="J25" s="11" t="str">
        <x:v>Preserves factor derivation and induction proof as trace logs, providing fine-grained proof provenance rather than only terminal theorem statements.</x:v>
      </x:c>
      <x:c r="K25" s="11" t="str">
        <x:v>PC-0018</x:v>
      </x:c>
      <x:c r="L25" s="11" t="str"/>
      <x:c r="M25" s="11" t="str">
        <x:v>https://github.com/justinlietz93/Taoism-Mathematics-Research-Project-Internal/commit/faf3d7709ac2322d4f316e224ad750929c34646d</x:v>
      </x:c>
      <x:c r="N25" s="11" t="str">
        <x:v>turn252464view2</x:v>
      </x:c>
      <x:c r="O25" s="11" t="str">
        <x:v>proof trace / induction</x:v>
      </x:c>
      <x:c r="P25" s="11" t="str"/>
    </x:row>
    <x:row r="26">
      <x:c r="A26" s="11" t="str">
        <x:v>TAO-G010</x:v>
      </x:c>
      <x:c r="B26" s="11" t="str">
        <x:v>Taoism-Mathematics-Research-Project-Internal</x:v>
      </x:c>
      <x:c r="C26" s="11" t="str">
        <x:v>justinlietz93</x:v>
      </x:c>
      <x:c r="D26" s="14" t="str">
        <x:v>2026-07-11</x:v>
      </x:c>
      <x:c r="E26" s="11" t="str">
        <x:v>9f2ccdf22abccbacd6fbacf6a545118bbbe06826</x:v>
      </x:c>
      <x:c r="F26" s="11" t="str">
        <x:v>9f2ccdf</x:v>
      </x:c>
      <x:c r="G26" s="11" t="str">
        <x:v>working through the orthad pairing</x:v>
      </x:c>
      <x:c r="H26" s="11" t="str">
        <x:v>ORTHAD</x:v>
      </x:c>
      <x:c r="I26" s="11" t="str">
        <x:v>COMMIT-DETAIL-VERIFIED</x:v>
      </x:c>
      <x:c r="J26" s="11" t="str">
        <x:v>Publicly timestamps active work on the Orthad pairing recurrence rather than presenting the final recurrence as having appeared fully formed.</x:v>
      </x:c>
      <x:c r="K26" s="11" t="str">
        <x:v>PC-0012;PC-0013</x:v>
      </x:c>
      <x:c r="L26" s="11" t="str"/>
      <x:c r="M26" s="11" t="str">
        <x:v>https://github.com/justinlietz93/Taoism-Mathematics-Research-Project-Internal/commit/9f2ccdf22abccbacd6fbacf6a545118bbbe06826</x:v>
      </x:c>
      <x:c r="N26" s="11" t="str">
        <x:v>turn252464view1</x:v>
      </x:c>
      <x:c r="O26" s="11" t="str">
        <x:v>Orthad recurrence development</x:v>
      </x:c>
      <x:c r="P26" s="11" t="str"/>
    </x:row>
    <x:row r="27">
      <x:c r="A27" s="11" t="str">
        <x:v>TAO-G011</x:v>
      </x:c>
      <x:c r="B27" s="11" t="str">
        <x:v>Taoism-Mathematics-Research-Project-Internal</x:v>
      </x:c>
      <x:c r="C27" s="11" t="str">
        <x:v>justinlietz93</x:v>
      </x:c>
      <x:c r="D27" s="14" t="str">
        <x:v>2026-07-12</x:v>
      </x:c>
      <x:c r="E27" s="11" t="str">
        <x:v>39e096442aeee8e0d6776dcde01bc46f681bf34c</x:v>
      </x:c>
      <x:c r="F27" s="11" t="str">
        <x:v>39e0964</x:v>
      </x:c>
      <x:c r="G27" s="11" t="str">
        <x:v>updated canon documents and extracting findings from sprawling repo</x:v>
      </x:c>
      <x:c r="H27" s="11" t="str">
        <x:v>CANON/AUDIT</x:v>
      </x:c>
      <x:c r="I27" s="11" t="str">
        <x:v>COMMIT-DETAIL-VERIFIED</x:v>
      </x:c>
      <x:c r="J27" s="11" t="str">
        <x:v>Consolidates canon and extracted findings after the intensive Phase 5 derivation sequence; the commit contains canonical ledgers, custody documents, retained-state boundary material, formal artifacts, falsification outputs, and negative controls.</x:v>
      </x:c>
      <x:c r="K27" s="11" t="str">
        <x:v>PC-0013;PC-0018</x:v>
      </x:c>
      <x:c r="L27" s="11" t="str"/>
      <x:c r="M27" s="11" t="str">
        <x:v>https://github.com/justinlietz93/Taoism-Mathematics-Research-Project-Internal/commit/39e096442aeee8e0d6776dcde01bc46f681bf34c</x:v>
      </x:c>
      <x:c r="N27" s="11" t="str">
        <x:v>turn252464view0</x:v>
      </x:c>
      <x:c r="O27" s="11" t="str">
        <x:v>canon consolidation / evidence extraction</x:v>
      </x:c>
      <x:c r="P27" s="11" t="str"/>
    </x:row>
    <x:row r="28">
      <x:c r="A28" s="11" t="str">
        <x:v>CTX-G001</x:v>
      </x:c>
      <x:c r="B28" s="11" t="str">
        <x:v>cortex-engine</x:v>
      </x:c>
      <x:c r="C28" s="11" t="str">
        <x:v>Neuroca-Inc</x:v>
      </x:c>
      <x:c r="D28" s="14" t="str">
        <x:v>2026-07-12</x:v>
      </x:c>
      <x:c r="E28" s="11" t="str">
        <x:v>31f9f8d5ac204d07095fbbf27cbe9d3cfde2216e</x:v>
      </x:c>
      <x:c r="F28" s="11" t="str">
        <x:v>31f9f8d</x:v>
      </x:c>
      <x:c r="G28" s="11" t="str">
        <x:v>first commit</x:v>
      </x:c>
      <x:c r="H28" s="11" t="str">
        <x:v>BASELINE</x:v>
      </x:c>
      <x:c r="I28" s="11" t="str">
        <x:v>COMMIT-DETAIL-VERIFIED</x:v>
      </x:c>
      <x:c r="J28" s="11" t="str">
        <x:v>Public baseline for the Cortex implementation repository.</x:v>
      </x:c>
      <x:c r="K28" s="11" t="str">
        <x:v>PC-0014</x:v>
      </x:c>
      <x:c r="L28" s="11" t="str"/>
      <x:c r="M28" s="11" t="str">
        <x:v>https://github.com/Neuroca-Inc/cortex-engine/commit/31f9f8d5ac204d07095fbbf27cbe9d3cfde2216e</x:v>
      </x:c>
      <x:c r="N28" s="11" t="str">
        <x:v>turn130432view0</x:v>
      </x:c>
      <x:c r="O28" s="11" t="str">
        <x:v>repository baseline</x:v>
      </x:c>
      <x:c r="P28" s="11" t="str"/>
    </x:row>
    <x:row r="29">
      <x:c r="A29" s="11" t="str">
        <x:v>CTX-G002</x:v>
      </x:c>
      <x:c r="B29" s="11" t="str">
        <x:v>cortex-engine</x:v>
      </x:c>
      <x:c r="C29" s="11" t="str">
        <x:v>Neuroca-Inc</x:v>
      </x:c>
      <x:c r="D29" s="14" t="str">
        <x:v>2026-07-13</x:v>
      </x:c>
      <x:c r="E29" s="11" t="str">
        <x:v>bcc358ebebe9ed4731f9b6b3fd7599681c60853e</x:v>
      </x:c>
      <x:c r="F29" s="11" t="str">
        <x:v>bcc358e</x:v>
      </x:c>
      <x:c r="G29" s="11" t="str">
        <x:v>CP11</x:v>
      </x:c>
      <x:c r="H29" s="11" t="str">
        <x:v>IMPLEMENTATION</x:v>
      </x:c>
      <x:c r="I29" s="11" t="str">
        <x:v>COMMIT-DETAIL-VERIFIED</x:v>
      </x:c>
      <x:c r="J29" s="11" t="str">
        <x:v>Marks the CP11 implementation checkpoint in the compressed Cortex public history.</x:v>
      </x:c>
      <x:c r="K29" s="11" t="str">
        <x:v>PC-0014</x:v>
      </x:c>
      <x:c r="L29" s="11" t="str"/>
      <x:c r="M29" s="11" t="str">
        <x:v>https://github.com/Neuroca-Inc/cortex-engine/commit/bcc358ebebe9ed4731f9b6b3fd7599681c60853e</x:v>
      </x:c>
      <x:c r="N29" s="11" t="str">
        <x:v>turn130432view1</x:v>
      </x:c>
      <x:c r="O29" s="11" t="str">
        <x:v>implementation checkpoint</x:v>
      </x:c>
      <x:c r="P29" s="11" t="str"/>
    </x:row>
    <x:row r="30">
      <x:c r="A30" s="11" t="str">
        <x:v>CTX-G003</x:v>
      </x:c>
      <x:c r="B30" s="11" t="str">
        <x:v>cortex-engine</x:v>
      </x:c>
      <x:c r="C30" s="11" t="str">
        <x:v>Neuroca-Inc</x:v>
      </x:c>
      <x:c r="D30" s="14" t="str">
        <x:v>2026-07-13</x:v>
      </x:c>
      <x:c r="E30" s="11" t="str">
        <x:v>82e0856447fd39085f986d9c634a1c2a5712259d</x:v>
      </x:c>
      <x:c r="F30" s="11" t="str">
        <x:v>82e0856</x:v>
      </x:c>
      <x:c r="G30" s="11" t="str">
        <x:v>CP20</x:v>
      </x:c>
      <x:c r="H30" s="11" t="str">
        <x:v>IMPLEMENTATION</x:v>
      </x:c>
      <x:c r="I30" s="11" t="str">
        <x:v>COMMIT-DETAIL-VERIFIED</x:v>
      </x:c>
      <x:c r="J30" s="11" t="str">
        <x:v>Marks the CP20 implementation checkpoint, the substrate boundary referenced by the project chronology.</x:v>
      </x:c>
      <x:c r="K30" s="11" t="str">
        <x:v>PC-0014</x:v>
      </x:c>
      <x:c r="L30" s="11" t="str"/>
      <x:c r="M30" s="11" t="str">
        <x:v>https://github.com/Neuroca-Inc/cortex-engine/commit/82e0856447fd39085f986d9c634a1c2a5712259d</x:v>
      </x:c>
      <x:c r="N30" s="11" t="str">
        <x:v>turn130432view2</x:v>
      </x:c>
      <x:c r="O30" s="11" t="str">
        <x:v>implementation boundary</x:v>
      </x:c>
      <x:c r="P30" s="11" t="str"/>
    </x:row>
    <x:row r="31">
      <x:c r="A31" s="11" t="str">
        <x:v>CTX-G004</x:v>
      </x:c>
      <x:c r="B31" s="11" t="str">
        <x:v>cortex-engine</x:v>
      </x:c>
      <x:c r="C31" s="11" t="str">
        <x:v>Neuroca-Inc</x:v>
      </x:c>
      <x:c r="D31" s="14" t="str">
        <x:v>2026-07-13</x:v>
      </x:c>
      <x:c r="E31" s="11" t="str">
        <x:v>169dbe7e1b53c2aff6851efc59f862ded14558f2</x:v>
      </x:c>
      <x:c r="F31" s="11" t="str">
        <x:v>169dbe7</x:v>
      </x:c>
      <x:c r="G31" s="11" t="str">
        <x:v>CP20 Retrospective complete</x:v>
      </x:c>
      <x:c r="H31" s="11" t="str">
        <x:v>BOUNDARY/AUDIT</x:v>
      </x:c>
      <x:c r="I31" s="11" t="str">
        <x:v>COMMIT-DETAIL-VERIFIED</x:v>
      </x:c>
      <x:c r="J31" s="11" t="str">
        <x:v>Strong boundary provenance: the retrospective package includes decision-status material, an explicit rejected RST-scheduled Xi coupling ADR, an Xi integration blocker, evidence logs, and SHA manifests.</x:v>
      </x:c>
      <x:c r="K31" s="11" t="str">
        <x:v>PC-0015</x:v>
      </x:c>
      <x:c r="L31" s="11" t="str">
        <x:v>Explicit rejection artifact: ADR 0024 rejects RST-scheduled Xi coupling; Xi integration blocker is retained rather than silently bypassed.</x:v>
      </x:c>
      <x:c r="M31" s="11" t="str">
        <x:v>https://github.com/Neuroca-Inc/cortex-engine/commit/169dbe7e1b53c2aff6851efc59f862ded14558f2</x:v>
      </x:c>
      <x:c r="N31" s="11" t="str">
        <x:v>turn130432view3;turn779565view0</x:v>
      </x:c>
      <x:c r="O31" s="11" t="str">
        <x:v>explicit boundary + rejected model</x:v>
      </x:c>
      <x:c r="P31" s="11" t="str"/>
    </x:row>
    <x:row r="32">
      <x:c r="A32" s="11" t="str">
        <x:v>CTX-G005</x:v>
      </x:c>
      <x:c r="B32" s="11" t="str">
        <x:v>cortex-engine</x:v>
      </x:c>
      <x:c r="C32" s="11" t="str">
        <x:v>Neuroca-Inc</x:v>
      </x:c>
      <x:c r="D32" s="14" t="str">
        <x:v>2026-07-18</x:v>
      </x:c>
      <x:c r="E32" s="11" t="str">
        <x:v>0234de28c4ee346a34abad4379da0e35ea96531d</x:v>
      </x:c>
      <x:c r="F32" s="11" t="str">
        <x:v>0234de2</x:v>
      </x:c>
      <x:c r="G32" s="11" t="str">
        <x:v>began implementation of the orthad and lifted object</x:v>
      </x:c>
      <x:c r="H32" s="11" t="str">
        <x:v>IMPLEMENTATION</x:v>
      </x:c>
      <x:c r="I32" s="11" t="str">
        <x:v>COMMIT-DETAIL-VERIFIED</x:v>
      </x:c>
      <x:c r="J32" s="11" t="str">
        <x:v>Publicly timestamps the transition from the CP20 substrate into explicit Orthad and lifted-object implementation.</x:v>
      </x:c>
      <x:c r="K32" s="11" t="str">
        <x:v>PC-0014;PC-0017</x:v>
      </x:c>
      <x:c r="L32" s="11" t="str"/>
      <x:c r="M32" s="11" t="str">
        <x:v>https://github.com/Neuroca-Inc/cortex-engine/commit/0234de28c4ee346a34abad4379da0e35ea96531d</x:v>
      </x:c>
      <x:c r="N32" s="11" t="str">
        <x:v>turn130432view4</x:v>
      </x:c>
      <x:c r="O32" s="11" t="str">
        <x:v>Orthad / lifted-object implementation</x:v>
      </x:c>
      <x:c r="P32" s="11" t="str"/>
    </x:row>
    <x:row r="33">
      <x:c r="A33" s="11" t="str">
        <x:v>CTX-G006</x:v>
      </x:c>
      <x:c r="B33" s="11" t="str">
        <x:v>cortex-engine</x:v>
      </x:c>
      <x:c r="C33" s="11" t="str">
        <x:v>Neuroca-Inc</x:v>
      </x:c>
      <x:c r="D33" s="14" t="str">
        <x:v>2026-07-20</x:v>
      </x:c>
      <x:c r="E33" s="11" t="str"/>
      <x:c r="F33" s="11" t="str">
        <x:v>7ea9d91</x:v>
      </x:c>
      <x:c r="G33" s="11" t="str">
        <x:v>began emergent physics work</x:v>
      </x:c>
      <x:c r="H33" s="11" t="str">
        <x:v>APPLICATION</x:v>
      </x:c>
      <x:c r="I33" s="11" t="str">
        <x:v>HISTORY-VERIFIED</x:v>
      </x:c>
      <x:c r="J33" s="11" t="str">
        <x:v>Marks the beginning of the emergent-physics branch after the Orthad/lifted-object implementation transition.</x:v>
      </x:c>
      <x:c r="K33" s="11" t="str">
        <x:v>PC-0014</x:v>
      </x:c>
      <x:c r="L33" s="11" t="str"/>
      <x:c r="M33" s="11" t="str">
        <x:v>https://github.com/Neuroca-Inc/cortex-engine/commit/7ea9d91</x:v>
      </x:c>
      <x:c r="N33" s="11" t="str">
        <x:v>turn235083view1</x:v>
      </x:c>
      <x:c r="O33" s="11" t="str">
        <x:v>new downstream application</x:v>
      </x:c>
      <x:c r="P33" s="11" t="str">
        <x:v>Full commit page exceeded browser fetch limit during this pass; short SHA and history entry are verified.</x:v>
      </x:c>
    </x:row>
    <x:row r="34">
      <x:c r="A34" s="11" t="str">
        <x:v>CTX-G007</x:v>
      </x:c>
      <x:c r="B34" s="11" t="str">
        <x:v>cortex-engine</x:v>
      </x:c>
      <x:c r="C34" s="11" t="str">
        <x:v>Neuroca-Inc</x:v>
      </x:c>
      <x:c r="D34" s="14" t="str">
        <x:v>2026-07-20</x:v>
      </x:c>
      <x:c r="E34" s="11" t="str">
        <x:v>4a2029139f8cdf91d64c26b63c4a3b3136a6bde6</x:v>
      </x:c>
      <x:c r="F34" s="11" t="str">
        <x:v>4a20291</x:v>
      </x:c>
      <x:c r="G34" s="11" t="str">
        <x:v>running tests and checks for emergent physics in the cortex engine</x:v>
      </x:c>
      <x:c r="H34" s="11" t="str">
        <x:v>VERIFICATION</x:v>
      </x:c>
      <x:c r="I34" s="11" t="str">
        <x:v>COMMIT-DETAIL-VERIFIED</x:v>
      </x:c>
      <x:c r="J34" s="11" t="str">
        <x:v>Shows testing/checking immediately following the start of the emergent-physics branch.</x:v>
      </x:c>
      <x:c r="K34" s="11" t="str">
        <x:v>PC-0014</x:v>
      </x:c>
      <x:c r="L34" s="11" t="str"/>
      <x:c r="M34" s="11" t="str">
        <x:v>https://github.com/Neuroca-Inc/cortex-engine/commit/4a2029139f8cdf91d64c26b63c4a3b3136a6bde6</x:v>
      </x:c>
      <x:c r="N34" s="11" t="str">
        <x:v>turn130432view6</x:v>
      </x:c>
      <x:c r="O34" s="11" t="str">
        <x:v>downstream verification</x:v>
      </x:c>
      <x:c r="P34" s="11" t="str"/>
    </x:row>
    <x:row r="35">
      <x:c r="A35" s="11" t="str">
        <x:v>CTX-G008</x:v>
      </x:c>
      <x:c r="B35" s="11" t="str">
        <x:v>cortex-engine</x:v>
      </x:c>
      <x:c r="C35" s="11" t="str">
        <x:v>Neuroca-Inc</x:v>
      </x:c>
      <x:c r="D35" s="14" t="str">
        <x:v>2026-07-21</x:v>
      </x:c>
      <x:c r="E35" s="11" t="str"/>
      <x:c r="F35" s="11" t="str">
        <x:v>21c4670</x:v>
      </x:c>
      <x:c r="G35" s="11" t="str">
        <x:v>logged emergent hydrogen</x:v>
      </x:c>
      <x:c r="H35" s="11" t="str">
        <x:v>OBSERVATION</x:v>
      </x:c>
      <x:c r="I35" s="11" t="str">
        <x:v>HISTORY-VERIFIED</x:v>
      </x:c>
      <x:c r="J35" s="11" t="str">
        <x:v>Public history records an emergent-hydrogen observation as a downstream experimental milestone.</x:v>
      </x:c>
      <x:c r="K35" s="11" t="str">
        <x:v>PC-0014</x:v>
      </x:c>
      <x:c r="L35" s="11" t="str"/>
      <x:c r="M35" s="11" t="str">
        <x:v>https://github.com/Neuroca-Inc/cortex-engine/commit/21c4670</x:v>
      </x:c>
      <x:c r="N35" s="11" t="str">
        <x:v>turn235083view1</x:v>
      </x:c>
      <x:c r="O35" s="11" t="str">
        <x:v>experimental observation</x:v>
      </x:c>
      <x:c r="P35" s="11" t="str">
        <x:v>Short SHA/history entry verified; commit page exceeded browser fetch limit.</x:v>
      </x:c>
    </x:row>
    <x:row r="36">
      <x:c r="A36" s="11" t="str">
        <x:v>CTX-G009</x:v>
      </x:c>
      <x:c r="B36" s="11" t="str">
        <x:v>cortex-engine</x:v>
      </x:c>
      <x:c r="C36" s="11" t="str">
        <x:v>Neuroca-Inc</x:v>
      </x:c>
      <x:c r="D36" s="14" t="str">
        <x:v>2026-08-26</x:v>
      </x:c>
      <x:c r="E36" s="11" t="str"/>
      <x:c r="F36" s="11" t="str">
        <x:v>1bd9ad1</x:v>
      </x:c>
      <x:c r="G36" s="11" t="str">
        <x:v>added emergent dynamics observations and updated lifted object walkthrough, plus added a cortex retained baseline document</x:v>
      </x:c>
      <x:c r="H36" s="11" t="str">
        <x:v>CANON/BASELINE</x:v>
      </x:c>
      <x:c r="I36" s="11" t="str">
        <x:v>HISTORY-VERIFIED</x:v>
      </x:c>
      <x:c r="J36" s="11" t="str">
        <x:v>Joins emergent-dynamics observations, an updated Lifted Object walkthrough, and a retained Cortex baseline in one later custody milestone.</x:v>
      </x:c>
      <x:c r="K36" s="11" t="str">
        <x:v>PC-0017</x:v>
      </x:c>
      <x:c r="L36" s="11" t="str"/>
      <x:c r="M36" s="11" t="str">
        <x:v>https://github.com/Neuroca-Inc/cortex-engine/commit/1bd9ad1</x:v>
      </x:c>
      <x:c r="N36" s="11" t="str">
        <x:v>turn235083view1</x:v>
      </x:c>
      <x:c r="O36" s="11" t="str">
        <x:v>retained baseline + walkthrough update</x:v>
      </x:c>
      <x:c r="P36" s="11" t="str">
        <x:v>Short SHA/history entry verified; commit page exceeded browser fetch limit.</x:v>
      </x:c>
    </x:row>
    <x:row r="37">
      <x:c r="A37" s="11" t="str">
        <x:v>RT-G001</x:v>
      </x:c>
      <x:c r="B37" s="11" t="str">
        <x:v>vdm_rt</x:v>
      </x:c>
      <x:c r="C37" s="11" t="str">
        <x:v>Neuroca-Inc</x:v>
      </x:c>
      <x:c r="D37" s="14" t="str">
        <x:v>2026-06-22</x:v>
      </x:c>
      <x:c r="E37" s="11" t="str">
        <x:v>827f8261f94d298c08debd53959952af9d240393</x:v>
      </x:c>
      <x:c r="F37" s="11" t="str">
        <x:v>827f826</x:v>
      </x:c>
      <x:c r="G37" s="11" t="str">
        <x:v>Initial commit</x:v>
      </x:c>
      <x:c r="H37" s="11" t="str">
        <x:v>BASELINE</x:v>
      </x:c>
      <x:c r="I37" s="11" t="str">
        <x:v>COMMIT-DETAIL-VERIFIED</x:v>
      </x:c>
      <x:c r="J37" s="11" t="str">
        <x:v>Public baseline for the rebooted vdm_rt repository.</x:v>
      </x:c>
      <x:c r="K37" s="11" t="str"/>
      <x:c r="L37" s="11" t="str"/>
      <x:c r="M37" s="11" t="str">
        <x:v>https://github.com/Neuroca-Inc/vdm_rt/commit/827f8261f94d298c08debd53959952af9d240393</x:v>
      </x:c>
      <x:c r="N37" s="11" t="str">
        <x:v>turn183979view0</x:v>
      </x:c>
      <x:c r="O37" s="11" t="str">
        <x:v>repository baseline</x:v>
      </x:c>
      <x:c r="P37" s="11" t="str"/>
    </x:row>
    <x:row r="38">
      <x:c r="A38" s="11" t="str">
        <x:v>RT-G002</x:v>
      </x:c>
      <x:c r="B38" s="11" t="str">
        <x:v>vdm_rt</x:v>
      </x:c>
      <x:c r="C38" s="11" t="str">
        <x:v>Neuroca-Inc</x:v>
      </x:c>
      <x:c r="D38" s="14" t="str">
        <x:v>2026-06-22</x:v>
      </x:c>
      <x:c r="E38" s="11" t="str">
        <x:v>87c394c486107cca26563865eee9f99ede3bcfae</x:v>
      </x:c>
      <x:c r="F38" s="11" t="str">
        <x:v>87c394c</x:v>
      </x:c>
      <x:c r="G38" s="11" t="str">
        <x:v>Add comprehensive roadmap docs for runtime reboot</x:v>
      </x:c>
      <x:c r="H38" s="11" t="str">
        <x:v>ROADMAP</x:v>
      </x:c>
      <x:c r="I38" s="11" t="str">
        <x:v>COMMIT-DETAIL-VERIFIED</x:v>
      </x:c>
      <x:c r="J38" s="11" t="str">
        <x:v>Makes the runtime reboot plan explicit in repository history at inception.</x:v>
      </x:c>
      <x:c r="K38" s="11" t="str"/>
      <x:c r="L38" s="11" t="str"/>
      <x:c r="M38" s="11" t="str">
        <x:v>https://github.com/Neuroca-Inc/vdm_rt/commit/87c394c486107cca26563865eee9f99ede3bcfae</x:v>
      </x:c>
      <x:c r="N38" s="11" t="str">
        <x:v>turn183979view1</x:v>
      </x:c>
      <x:c r="O38" s="11" t="str">
        <x:v>explicit reboot roadmap</x:v>
      </x:c>
      <x:c r="P38" s="11" t="str"/>
    </x:row>
    <x:row r="39">
      <x:c r="A39" s="11" t="str">
        <x:v>RT-G003</x:v>
      </x:c>
      <x:c r="B39" s="11" t="str">
        <x:v>vdm_rt</x:v>
      </x:c>
      <x:c r="C39" s="11" t="str">
        <x:v>Neuroca-Inc</x:v>
      </x:c>
      <x:c r="D39" s="14" t="str">
        <x:v>2026-06-22</x:v>
      </x:c>
      <x:c r="E39" s="11" t="str">
        <x:v>2a6bddf72cdd33490d691331f523738c9e5dd872</x:v>
      </x:c>
      <x:c r="F39" s="11" t="str">
        <x:v>2a6bddf</x:v>
      </x:c>
      <x:c r="G39" s="11" t="str">
        <x:v>Remove dense/sparse mode flags and update docs</x:v>
      </x:c>
      <x:c r="H39" s="11" t="str">
        <x:v>CORRECTION/REJECTION</x:v>
      </x:c>
      <x:c r="I39" s="11" t="str">
        <x:v>COMMIT-DETAIL-VERIFIED</x:v>
      </x:c>
      <x:c r="J39" s="11" t="str">
        <x:v>Records removal of a runtime mode distinction during the reboot rather than preserving dead compatibility structure.</x:v>
      </x:c>
      <x:c r="K39" s="11" t="str"/>
      <x:c r="L39" s="11" t="str">
        <x:v>Dense/sparse mode flags removed.</x:v>
      </x:c>
      <x:c r="M39" s="11" t="str">
        <x:v>https://github.com/Neuroca-Inc/vdm_rt/commit/2a6bddf72cdd33490d691331f523738c9e5dd872</x:v>
      </x:c>
      <x:c r="N39" s="11" t="str">
        <x:v>turn183979view2</x:v>
      </x:c>
      <x:c r="O39" s="11" t="str">
        <x:v>architecture simplification / removal</x:v>
      </x:c>
      <x:c r="P39" s="11" t="str"/>
    </x:row>
    <x:row r="40">
      <x:c r="A40" s="11" t="str">
        <x:v>RT-G004</x:v>
      </x:c>
      <x:c r="B40" s="11" t="str">
        <x:v>vdm_rt</x:v>
      </x:c>
      <x:c r="C40" s="11" t="str">
        <x:v>Neuroca-Inc</x:v>
      </x:c>
      <x:c r="D40" s="14" t="str">
        <x:v>2026-06-22</x:v>
      </x:c>
      <x:c r="E40" s="11" t="str">
        <x:v>fff151080e2fc0a05726f14bb92713e97256d750</x:v>
      </x:c>
      <x:c r="F40" s="11" t="str">
        <x:v>fff1510</x:v>
      </x:c>
      <x:c r="G40" s="11" t="str">
        <x:v>Implement reboot cleanup policy / legacy substrate findings</x:v>
      </x:c>
      <x:c r="H40" s="11" t="str">
        <x:v>CORRECTION/REJECTION</x:v>
      </x:c>
      <x:c r="I40" s="11" t="str">
        <x:v>COMMIT-DETAIL-VERIFIED</x:v>
      </x:c>
      <x:c r="J40" s="11" t="str">
        <x:v>Makes cleanup policy and legacy-substrate findings explicit in the new runtime lineage.</x:v>
      </x:c>
      <x:c r="K40" s="11" t="str"/>
      <x:c r="L40" s="11" t="str">
        <x:v>Legacy substrate is treated as something to audit/clean rather than silently inherit.</x:v>
      </x:c>
      <x:c r="M40" s="11" t="str">
        <x:v>https://github.com/Neuroca-Inc/vdm_rt/commit/fff151080e2fc0a05726f14bb92713e97256d750</x:v>
      </x:c>
      <x:c r="N40" s="11" t="str">
        <x:v>turn183979view3</x:v>
      </x:c>
      <x:c r="O40" s="11" t="str">
        <x:v>legacy cleanup / authority reset</x:v>
      </x:c>
      <x:c r="P40" s="11" t="str"/>
    </x:row>
    <x:row r="41">
      <x:c r="A41" s="11" t="str">
        <x:v>RT-G005</x:v>
      </x:c>
      <x:c r="B41" s="11" t="str">
        <x:v>vdm_rt</x:v>
      </x:c>
      <x:c r="C41" s="11" t="str">
        <x:v>Neuroca-Inc</x:v>
      </x:c>
      <x:c r="D41" s="14" t="str">
        <x:v>2026-06-26</x:v>
      </x:c>
      <x:c r="E41" s="11" t="str">
        <x:v>165c5419eb23ad03df1325c7561e17555941e750</x:v>
      </x:c>
      <x:c r="F41" s="11" t="str">
        <x:v>165c541</x:v>
      </x:c>
      <x:c r="G41" s="11" t="str">
        <x:v>added regression test</x:v>
      </x:c>
      <x:c r="H41" s="11" t="str">
        <x:v>VERIFICATION</x:v>
      </x:c>
      <x:c r="I41" s="11" t="str">
        <x:v>COMMIT-DETAIL-VERIFIED</x:v>
      </x:c>
      <x:c r="J41" s="11" t="str">
        <x:v>Adds a regression gate before the next major cleanup/experimental sequence.</x:v>
      </x:c>
      <x:c r="K41" s="11" t="str"/>
      <x:c r="L41" s="11" t="str"/>
      <x:c r="M41" s="11" t="str">
        <x:v>https://github.com/Neuroca-Inc/vdm_rt/commit/165c5419eb23ad03df1325c7561e17555941e750</x:v>
      </x:c>
      <x:c r="N41" s="11" t="str">
        <x:v>turn183979view4</x:v>
      </x:c>
      <x:c r="O41" s="11" t="str">
        <x:v>regression verification</x:v>
      </x:c>
      <x:c r="P41" s="11" t="str"/>
    </x:row>
    <x:row r="42">
      <x:c r="A42" s="11" t="str">
        <x:v>RT-G006</x:v>
      </x:c>
      <x:c r="B42" s="11" t="str">
        <x:v>vdm_rt</x:v>
      </x:c>
      <x:c r="C42" s="11" t="str">
        <x:v>Neuroca-Inc</x:v>
      </x:c>
      <x:c r="D42" s="14" t="str">
        <x:v>2026-06-27</x:v>
      </x:c>
      <x:c r="E42" s="11" t="str">
        <x:v>0057fdcb670ca7a9611522983a18e5d293237914</x:v>
      </x:c>
      <x:c r="F42" s="11" t="str">
        <x:v>0057fdc</x:v>
      </x:c>
      <x:c r="G42" s="11" t="str">
        <x:v>continued cleanup, removal of broken UTD/UTE system</x:v>
      </x:c>
      <x:c r="H42" s="11" t="str">
        <x:v>CORRECTION/REJECTION</x:v>
      </x:c>
      <x:c r="I42" s="11" t="str">
        <x:v>COMMIT-DETAIL-VERIFIED</x:v>
      </x:c>
      <x:c r="J42" s="11" t="str">
        <x:v>High-value negative provenance: the history explicitly calls the UTD/UTE system broken and records its removal.</x:v>
      </x:c>
      <x:c r="K42" s="11" t="str"/>
      <x:c r="L42" s="11" t="str">
        <x:v>Broken UTD/UTE system removed.</x:v>
      </x:c>
      <x:c r="M42" s="11" t="str">
        <x:v>https://github.com/Neuroca-Inc/vdm_rt/commit/0057fdcb670ca7a9611522983a18e5d293237914</x:v>
      </x:c>
      <x:c r="N42" s="11" t="str">
        <x:v>turn183979view5</x:v>
      </x:c>
      <x:c r="O42" s="11" t="str">
        <x:v>explicit rejected subsystem</x:v>
      </x:c>
      <x:c r="P42" s="11" t="str"/>
    </x:row>
    <x:row r="43">
      <x:c r="A43" s="11" t="str">
        <x:v>RT-G007</x:v>
      </x:c>
      <x:c r="B43" s="11" t="str">
        <x:v>vdm_rt</x:v>
      </x:c>
      <x:c r="C43" s="11" t="str">
        <x:v>Neuroca-Inc</x:v>
      </x:c>
      <x:c r="D43" s="14" t="str">
        <x:v>2026-06-27</x:v>
      </x:c>
      <x:c r="E43" s="11" t="str">
        <x:v>a77092e45bbb0f85ff496a68d15f615880a7c83f</x:v>
      </x:c>
      <x:c r="F43" s="11" t="str">
        <x:v>a77092e</x:v>
      </x:c>
      <x:c r="G43" s="11" t="str">
        <x:v>added experiment testing outcomes</x:v>
      </x:c>
      <x:c r="H43" s="11" t="str">
        <x:v>EXPERIMENT</x:v>
      </x:c>
      <x:c r="I43" s="11" t="str">
        <x:v>COMMIT-DETAIL-VERIFIED</x:v>
      </x:c>
      <x:c r="J43" s="11" t="str">
        <x:v>Preserves experiment outcomes immediately after the cleanup step.</x:v>
      </x:c>
      <x:c r="K43" s="11" t="str"/>
      <x:c r="L43" s="11" t="str"/>
      <x:c r="M43" s="11" t="str">
        <x:v>https://github.com/Neuroca-Inc/vdm_rt/commit/a77092e45bbb0f85ff496a68d15f615880a7c83f</x:v>
      </x:c>
      <x:c r="N43" s="11" t="str">
        <x:v>turn183979view6</x:v>
      </x:c>
      <x:c r="O43" s="11" t="str">
        <x:v>experimental outcomes</x:v>
      </x:c>
      <x:c r="P43" s="11" t="str"/>
    </x:row>
    <x:row r="44">
      <x:c r="A44" s="11" t="str">
        <x:v>RT-G008</x:v>
      </x:c>
      <x:c r="B44" s="11" t="str">
        <x:v>vdm_rt</x:v>
      </x:c>
      <x:c r="C44" s="11" t="str">
        <x:v>Neuroca-Inc</x:v>
      </x:c>
      <x:c r="D44" s="14" t="str">
        <x:v>2026-06-27</x:v>
      </x:c>
      <x:c r="E44" s="11" t="str">
        <x:v>f60ef5cff839c9db32a626663f91f97f5a8dfbf4</x:v>
      </x:c>
      <x:c r="F44" s="11" t="str">
        <x:v>f60ef5c</x:v>
      </x:c>
      <x:c r="G44" s="11" t="str">
        <x:v>recreated 02 experiment. Decompressed check passed:</x:v>
      </x:c>
      <x:c r="H44" s="11" t="str">
        <x:v>VERIFICATION</x:v>
      </x:c>
      <x:c r="I44" s="11" t="str">
        <x:v>COMMIT-DETAIL-VERIFIED</x:v>
      </x:c>
      <x:c r="J44" s="11" t="str">
        <x:v>Records recreation of the 02 experiment and an explicit decompressed-check pass.</x:v>
      </x:c>
      <x:c r="K44" s="11" t="str"/>
      <x:c r="L44" s="11" t="str"/>
      <x:c r="M44" s="11" t="str">
        <x:v>https://github.com/Neuroca-Inc/vdm_rt/commit/f60ef5cff839c9db32a626663f91f97f5a8dfbf4</x:v>
      </x:c>
      <x:c r="N44" s="11" t="str">
        <x:v>turn183979view7</x:v>
      </x:c>
      <x:c r="O44" s="11" t="str">
        <x:v>reproduction + pass gate</x:v>
      </x:c>
      <x:c r="P44" s="11" t="str"/>
    </x:row>
    <x:row r="45">
      <x:c r="A45" s="11" t="str">
        <x:v>RT-G009</x:v>
      </x:c>
      <x:c r="B45" s="11" t="str">
        <x:v>vdm_rt</x:v>
      </x:c>
      <x:c r="C45" s="11" t="str">
        <x:v>Neuroca-Inc</x:v>
      </x:c>
      <x:c r="D45" s="14" t="str">
        <x:v>2026-06-27</x:v>
      </x:c>
      <x:c r="E45" s="11" t="str">
        <x:v>aa2434069b7bd8f50a6c191de6bf02f473f8e56e</x:v>
      </x:c>
      <x:c r="F45" s="11" t="str">
        <x:v>aa24340</x:v>
      </x:c>
      <x:c r="G45" s="11" t="str">
        <x:v>Replaced the separate UTE/UTD log surfaces with a shared compressed sensorimotor boundary log</x:v>
      </x:c>
      <x:c r="H45" s="11" t="str">
        <x:v>ARCHITECTURE</x:v>
      </x:c>
      <x:c r="I45" s="11" t="str">
        <x:v>COMMIT-DETAIL-VERIFIED</x:v>
      </x:c>
      <x:c r="J45" s="11" t="str">
        <x:v>After rejecting the broken UTD/UTE system, the runtime replaces separate surfaces with a shared compressed sensorimotor boundary.</x:v>
      </x:c>
      <x:c r="K45" s="11" t="str"/>
      <x:c r="L45" s="11" t="str">
        <x:v>Supersedes separate UTE/UTD log surfaces.</x:v>
      </x:c>
      <x:c r="M45" s="11" t="str">
        <x:v>https://github.com/Neuroca-Inc/vdm_rt/commit/aa2434069b7bd8f50a6c191de6bf02f473f8e56e</x:v>
      </x:c>
      <x:c r="N45" s="11" t="str">
        <x:v>turn183979view8</x:v>
      </x:c>
      <x:c r="O45" s="11" t="str">
        <x:v>replacement architecture</x:v>
      </x:c>
      <x:c r="P45" s="11" t="str"/>
    </x:row>
    <x:row r="46">
      <x:c r="A46" s="11" t="str">
        <x:v>RT-G010</x:v>
      </x:c>
      <x:c r="B46" s="11" t="str">
        <x:v>vdm_rt</x:v>
      </x:c>
      <x:c r="C46" s="11" t="str">
        <x:v>Neuroca-Inc</x:v>
      </x:c>
      <x:c r="D46" s="14" t="str">
        <x:v>2026-06-27</x:v>
      </x:c>
      <x:c r="E46" s="11" t="str">
        <x:v>c023f5b2aa3c3786f40b1d27da48d0e8db2d71d8</x:v>
      </x:c>
      <x:c r="F46" s="11" t="str">
        <x:v>c023f5b</x:v>
      </x:c>
      <x:c r="G46" s="11" t="str">
        <x:v>wired the live runtime path to the motor trace boundary without restoring text decoding</x:v>
      </x:c>
      <x:c r="H46" s="11" t="str">
        <x:v>IMPLEMENTATION</x:v>
      </x:c>
      <x:c r="I46" s="11" t="str">
        <x:v>COMMIT-DETAIL-VERIFIED</x:v>
      </x:c>
      <x:c r="J46" s="11" t="str">
        <x:v>Closes the correction chain by wiring the live path to the new boundary while explicitly not restoring the discarded text-decoding route.</x:v>
      </x:c>
      <x:c r="K46" s="11" t="str"/>
      <x:c r="L46" s="11" t="str">
        <x:v>Text decoding remains intentionally absent.</x:v>
      </x:c>
      <x:c r="M46" s="11" t="str">
        <x:v>https://github.com/Neuroca-Inc/vdm_rt/commit/c023f5b2aa3c3786f40b1d27da48d0e8db2d71d8</x:v>
      </x:c>
      <x:c r="N46" s="11" t="str">
        <x:v>turn183979view9</x:v>
      </x:c>
      <x:c r="O46" s="11" t="str">
        <x:v>live-path integration after correction</x:v>
      </x:c>
      <x:c r="P46" s="11" t="str"/>
    </x:row>
  </x:sheetData>
  <x:conditionalFormatting sqref="H2:H46">
    <x:cfRule type="expression" dxfId="3" priority="1">
      <x:formula>OR(ISNUMBER(SEARCH("CORRECTION",H2)),ISNUMBER(SEARCH("REJECTION",H2)),H2="BOUNDARY/AUDIT")</x:formula>
    </x:cfRule>
  </x:conditionalFormatting>
  <x:conditionalFormatting sqref="I2:I46">
    <x:cfRule type="expression" dxfId="4" priority="2">
      <x:formula>I2="COMMIT-DETAIL-VERIFIED"</x:formula>
    </x:cfRule>
    <x:cfRule type="expression" dxfId="5" priority="3">
      <x:formula>I2="HISTORY-VERIFIED"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6631fd20199465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8" hidden="0" customWidth="1"/>
    <x:col min="3" max="3" width="24" hidden="0" customWidth="1"/>
    <x:col min="4" max="4" width="80" hidden="0" customWidth="1"/>
  </x:cols>
  <x:sheetData>
    <x:row r="1">
      <x:c r="A1" s="26" t="str">
        <x:v>Git_ID</x:v>
      </x:c>
      <x:c r="B1" s="26" t="str">
        <x:v>Existing_Entry_ID</x:v>
      </x:c>
      <x:c r="C1" s="26" t="str">
        <x:v>Relationship</x:v>
      </x:c>
      <x:c r="D1" s="26" t="str">
        <x:v>Rationale</x:v>
      </x:c>
    </x:row>
    <x:row r="2">
      <x:c r="A2" s="11" t="str">
        <x:v>VDM-G003</x:v>
      </x:c>
      <x:c r="B2" s="11" t="str">
        <x:v>PC-0016</x:v>
      </x:c>
      <x:c r="C2" s="11" t="str">
        <x:v>PUBLIC_GIT_PRECURSOR</x:v>
      </x:c>
      <x:c r="D2" s="11" t="str">
        <x:v>November 2025 Git commit publicly timestamps the CF10 lattice-hydrodynamics program before the later Phase Calculus regularity closure.</x:v>
      </x:c>
    </x:row>
    <x:row r="3">
      <x:c r="A3" s="11" t="str">
        <x:v>VDM-G006</x:v>
      </x:c>
      <x:c r="B3" s="11" t="str">
        <x:v>PC-0001</x:v>
      </x:c>
      <x:c r="C3" s="11" t="str">
        <x:v>FOUNDATIONAL_LINEAGE</x:v>
      </x:c>
      <x:c r="D3" s="11" t="str">
        <x:v>H000 immediately precedes and feeds the CF000 foundational line.</x:v>
      </x:c>
    </x:row>
    <x:row r="4">
      <x:c r="A4" s="11" t="str">
        <x:v>VDM-G007</x:v>
      </x:c>
      <x:c r="B4" s="11" t="str">
        <x:v>PC-0001</x:v>
      </x:c>
      <x:c r="C4" s="11" t="str">
        <x:v>DIRECT_GIT_EVIDENCE</x:v>
      </x:c>
      <x:c r="D4" s="11" t="str">
        <x:v>CF000 primitive-distinguishability artifact is directly timestamped in Git.</x:v>
      </x:c>
    </x:row>
    <x:row r="5">
      <x:c r="A5" s="11" t="str">
        <x:v>VDM-G008</x:v>
      </x:c>
      <x:c r="B5" s="11" t="str">
        <x:v>PC-0001</x:v>
      </x:c>
      <x:c r="C5" s="11" t="str">
        <x:v>CANON_CUSTODY</x:v>
      </x:c>
      <x:c r="D5" s="11" t="str">
        <x:v>Canon-ledger work provides claim-status/custody infrastructure around the foundational period.</x:v>
      </x:c>
    </x:row>
    <x:row r="6">
      <x:c r="A6" s="11" t="str">
        <x:v>VDM-G009</x:v>
      </x:c>
      <x:c r="B6" s="11" t="str">
        <x:v>PC-0001</x:v>
      </x:c>
      <x:c r="C6" s="11" t="str">
        <x:v>FOUNDATIONAL_LINEAGE</x:v>
      </x:c>
      <x:c r="D6" s="11" t="str">
        <x:v>A_minus_one primitive-kernel artifact sits directly upstream of the March 24 Farey development.</x:v>
      </x:c>
    </x:row>
    <x:row r="7">
      <x:c r="A7" s="11" t="str">
        <x:v>PBL-G001</x:v>
      </x:c>
      <x:c r="B7" s="11" t="str">
        <x:v>PC-0001</x:v>
      </x:c>
      <x:c r="C7" s="11" t="str">
        <x:v>EXPERIMENTAL_DISCRIMINATOR</x:v>
      </x:c>
      <x:c r="D7" s="11" t="str">
        <x:v>Corrected executable successor-mutation test probes primitive class admission while preserving the failed prior interpretation.</x:v>
      </x:c>
    </x:row>
    <x:row r="8">
      <x:c r="A8" s="11" t="str">
        <x:v>PBL-G002</x:v>
      </x:c>
      <x:c r="B8" s="11" t="str">
        <x:v>PC-0001</x:v>
      </x:c>
      <x:c r="C8" s="11" t="str">
        <x:v>NEGATIVE_PROVENANCE</x:v>
      </x:c>
      <x:c r="D8" s="11" t="str">
        <x:v>Removal of a prior programmable-reference artifact is preserved as a distinct historical event.</x:v>
      </x:c>
    </x:row>
    <x:row r="9">
      <x:c r="A9" s="11" t="str">
        <x:v>TAO-G001</x:v>
      </x:c>
      <x:c r="B9" s="11" t="str">
        <x:v>PC-0013</x:v>
      </x:c>
      <x:c r="C9" s="11" t="str">
        <x:v>DERIVATION_PHASE</x:v>
      </x:c>
      <x:c r="D9" s="11" t="str">
        <x:v>Phase 5 v8 begins the intensive QBL/Orthad derivation branch.</x:v>
      </x:c>
    </x:row>
    <x:row r="10">
      <x:c r="A10" s="11" t="str">
        <x:v>TAO-G002</x:v>
      </x:c>
      <x:c r="B10" s="11" t="str">
        <x:v>PC-0013</x:v>
      </x:c>
      <x:c r="C10" s="11" t="str">
        <x:v>CANON_CUSTODY</x:v>
      </x:c>
      <x:c r="D10" s="11" t="str">
        <x:v>Phase 5 canonical ledger formalizes status/custody.</x:v>
      </x:c>
    </x:row>
    <x:row r="11">
      <x:c r="A11" s="11" t="str">
        <x:v>TAO-G003</x:v>
      </x:c>
      <x:c r="B11" s="11" t="str">
        <x:v>PC-0012</x:v>
      </x:c>
      <x:c r="C11" s="11" t="str">
        <x:v>ORTHAD_DEVELOPMENT</x:v>
      </x:c>
      <x:c r="D11" s="11" t="str">
        <x:v>Orthad-generated structure enters Phase 5.</x:v>
      </x:c>
    </x:row>
    <x:row r="12">
      <x:c r="A12" s="11" t="str">
        <x:v>TAO-G004</x:v>
      </x:c>
      <x:c r="B12" s="11" t="str">
        <x:v>PC-0013</x:v>
      </x:c>
      <x:c r="C12" s="11" t="str">
        <x:v>VERIFICATION_LAYER</x:v>
      </x:c>
      <x:c r="D12" s="11" t="str">
        <x:v>Verification script + sealed JSON evidence.</x:v>
      </x:c>
    </x:row>
    <x:row r="13">
      <x:c r="A13" s="11" t="str">
        <x:v>TAO-G005</x:v>
      </x:c>
      <x:c r="B13" s="11" t="str">
        <x:v>PC-0013</x:v>
      </x:c>
      <x:c r="C13" s="11" t="str">
        <x:v>AUDIT_LAYER</x:v>
      </x:c>
      <x:c r="D13" s="11" t="str">
        <x:v>External audit and radical-purity diagnosis.</x:v>
      </x:c>
    </x:row>
    <x:row r="14">
      <x:c r="A14" s="11" t="str">
        <x:v>TAO-G007</x:v>
      </x:c>
      <x:c r="B14" s="11" t="str">
        <x:v>PC-0018</x:v>
      </x:c>
      <x:c r="C14" s="11" t="str">
        <x:v>DERIVATION_EVIDENCE</x:v>
      </x:c>
      <x:c r="D14" s="11" t="str">
        <x:v>Recurrent-grammar commit contains QBL carry-J derivation and associated formal/audit evidence.</x:v>
      </x:c>
    </x:row>
    <x:row r="15">
      <x:c r="A15" s="11" t="str">
        <x:v>TAO-G008</x:v>
      </x:c>
      <x:c r="B15" s="11" t="str">
        <x:v>PC-0018</x:v>
      </x:c>
      <x:c r="C15" s="11" t="str">
        <x:v>THRESHOLD_DERIVATION</x:v>
      </x:c>
      <x:c r="D15" s="11" t="str">
        <x:v>Threshold derivation made executable and package-verified.</x:v>
      </x:c>
    </x:row>
    <x:row r="16">
      <x:c r="A16" s="11" t="str">
        <x:v>TAO-G009</x:v>
      </x:c>
      <x:c r="B16" s="11" t="str">
        <x:v>PC-0018</x:v>
      </x:c>
      <x:c r="C16" s="11" t="str">
        <x:v>PROOF_TRACE</x:v>
      </x:c>
      <x:c r="D16" s="11" t="str">
        <x:v>Factor and induction proof traces preserve intermediate derivation provenance.</x:v>
      </x:c>
    </x:row>
    <x:row r="17">
      <x:c r="A17" s="11" t="str">
        <x:v>TAO-G010</x:v>
      </x:c>
      <x:c r="B17" s="11" t="str">
        <x:v>PC-0013</x:v>
      </x:c>
      <x:c r="C17" s="11" t="str">
        <x:v>ORTHAD_RECURRENCE</x:v>
      </x:c>
      <x:c r="D17" s="11" t="str">
        <x:v>Publicly timestamps the Orthad pairing work before later closure.</x:v>
      </x:c>
    </x:row>
    <x:row r="18">
      <x:c r="A18" s="11" t="str">
        <x:v>TAO-G011</x:v>
      </x:c>
      <x:c r="B18" s="11" t="str">
        <x:v>PC-0013</x:v>
      </x:c>
      <x:c r="C18" s="11" t="str">
        <x:v>CANON_CONSOLIDATION</x:v>
      </x:c>
      <x:c r="D18" s="11" t="str">
        <x:v>Canon documents and extracted findings consolidate the Phase 5 custody state.</x:v>
      </x:c>
    </x:row>
    <x:row r="19">
      <x:c r="A19" s="11" t="str">
        <x:v>CTX-G001</x:v>
      </x:c>
      <x:c r="B19" s="11" t="str">
        <x:v>PC-0014</x:v>
      </x:c>
      <x:c r="C19" s="11" t="str">
        <x:v>IMPLEMENTATION_BASELINE</x:v>
      </x:c>
      <x:c r="D19" s="11" t="str">
        <x:v>Cortex repository baseline for the implementation branch.</x:v>
      </x:c>
    </x:row>
    <x:row r="20">
      <x:c r="A20" s="11" t="str">
        <x:v>CTX-G003</x:v>
      </x:c>
      <x:c r="B20" s="11" t="str">
        <x:v>PC-0014</x:v>
      </x:c>
      <x:c r="C20" s="11" t="str">
        <x:v>IMPLEMENTATION_CHECKPOINT</x:v>
      </x:c>
      <x:c r="D20" s="11" t="str">
        <x:v>CP20 is the implementation substrate checkpoint.</x:v>
      </x:c>
    </x:row>
    <x:row r="21">
      <x:c r="A21" s="11" t="str">
        <x:v>CTX-G004</x:v>
      </x:c>
      <x:c r="B21" s="11" t="str">
        <x:v>PC-0015</x:v>
      </x:c>
      <x:c r="C21" s="11" t="str">
        <x:v>EXPLICIT_BOUNDARY</x:v>
      </x:c>
      <x:c r="D21" s="11" t="str">
        <x:v>CP20 retrospective preserves rejected coupling and Xi integration blocker.</x:v>
      </x:c>
    </x:row>
    <x:row r="22">
      <x:c r="A22" s="11" t="str">
        <x:v>CTX-G005</x:v>
      </x:c>
      <x:c r="B22" s="11" t="str">
        <x:v>PC-0017</x:v>
      </x:c>
      <x:c r="C22" s="11" t="str">
        <x:v>IMPLEMENTATION_TRANSITION</x:v>
      </x:c>
      <x:c r="D22" s="11" t="str">
        <x:v>Orthad and Lifted Object implementation begins after CP20.</x:v>
      </x:c>
    </x:row>
    <x:row r="23">
      <x:c r="A23" s="11" t="str">
        <x:v>CTX-G009</x:v>
      </x:c>
      <x:c r="B23" s="11" t="str">
        <x:v>PC-0017</x:v>
      </x:c>
      <x:c r="C23" s="11" t="str">
        <x:v>RETAINED_BASELINE</x:v>
      </x:c>
      <x:c r="D23" s="11" t="str">
        <x:v>Later commit updates the walkthrough and adds a retained Cortex baseline.</x:v>
      </x:c>
    </x:row>
    <x:row r="24">
      <x:c r="A24" s="11" t="str">
        <x:v>TAO-G001</x:v>
      </x:c>
      <x:c r="B24" s="11" t="str">
        <x:v>PC-0019</x:v>
      </x:c>
      <x:c r="C24" s="11" t="str">
        <x:v>METHODOLOGY_CONTEXT</x:v>
      </x:c>
      <x:c r="D24" s="11" t="str">
        <x:v>Phase 5 v8 sits inside the Taoism / Active-Study period in which ORCHESTRA was built and provenance methodology began to formalize; this is contextual, not an assertion that TAO-G001 is the first ORCHESTRA commit.</x:v>
      </x:c>
    </x:row>
    <x:row r="25">
      <x:c r="A25" s="11" t="str">
        <x:v>TAO-G002</x:v>
      </x:c>
      <x:c r="B25" s="11" t="str">
        <x:v>PC-0019</x:v>
      </x:c>
      <x:c r="C25" s="11" t="str">
        <x:v>METHODOLOGY_CONTEXT</x:v>
      </x:c>
      <x:c r="D25" s="11" t="str">
        <x:v>The Phase 5 canonical-ledger milestone is part of the same Active-Study environment that shaped the formal provenance methodology; exact ORCHESTRA artifact ancestry remains a separate mapping task.</x:v>
      </x:c>
    </x:row>
    <x:row r="26">
      <x:c r="A26" s="11" t="str">
        <x:v>TAO-G011</x:v>
      </x:c>
      <x:c r="B26" s="11" t="str">
        <x:v>PC-0019</x:v>
      </x:c>
      <x:c r="C26" s="11" t="str">
        <x:v>METHODOLOGY_CONTEXT</x:v>
      </x:c>
      <x:c r="D26" s="11" t="str">
        <x:v>Canon consolidation and evidence extraction are methodologically adjacent to ORCHESTRA's provenance formalization, but are not relabeled as ORCHESTRA commits without direct artifact evidence.</x:v>
      </x:c>
    </x:row>
  </x:sheetData>
  <x:pageMargins left="0.7" right="0.7" top="0.75" bottom="0.75" header="0.3" footer="0.3"/>
  <x:tableParts count="1">
    <x:tablePart xmlns:r="http://schemas.openxmlformats.org/officeDocument/2006/relationships" r:id="Ra8526bc0364c42a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56" hidden="0" customWidth="1"/>
    <x:col min="3" max="3" width="24" hidden="0" customWidth="1"/>
    <x:col min="4" max="4" width="20" hidden="0" customWidth="1"/>
    <x:col min="5" max="5" width="16" hidden="0" customWidth="1"/>
    <x:col min="6" max="6" width="16" hidden="0" customWidth="1"/>
    <x:col min="7" max="7" width="18" hidden="0" customWidth="1"/>
    <x:col min="8" max="8" width="46" hidden="0" customWidth="1"/>
    <x:col min="9" max="9" width="70" hidden="0" customWidth="1"/>
    <x:col min="10" max="10" width="30" hidden="0" customWidth="1"/>
  </x:cols>
  <x:sheetData>
    <x:row r="1">
      <x:c r="A1" s="26" t="str">
        <x:v>Repo</x:v>
      </x:c>
      <x:c r="B1" s="26" t="str">
        <x:v>URL</x:v>
      </x:c>
      <x:c r="C1" s="26" t="str">
        <x:v>History_Status</x:v>
      </x:c>
      <x:c r="D1" s="26" t="str">
        <x:v>Visible_Commit_Count</x:v>
      </x:c>
      <x:c r="E1" s="26" t="str">
        <x:v>Earliest_Selected</x:v>
      </x:c>
      <x:c r="F1" s="26" t="str">
        <x:v>Latest_Selected</x:v>
      </x:c>
      <x:c r="G1" s="26" t="str">
        <x:v>Milestones_Selected</x:v>
      </x:c>
      <x:c r="H1" s="26" t="str">
        <x:v>Provenance_Role</x:v>
      </x:c>
      <x:c r="I1" s="26" t="str">
        <x:v>Coverage_Notes</x:v>
      </x:c>
      <x:c r="J1" s="26" t="str">
        <x:v>Source</x:v>
      </x:c>
    </x:row>
    <x:row r="2">
      <x:c r="A2" s="11" t="str">
        <x:v>VDM</x:v>
      </x:c>
      <x:c r="B2" s="11" t="str">
        <x:v>https://github.com/Neuroca-Inc/VDM</x:v>
      </x:c>
      <x:c r="C2" s="11" t="str">
        <x:v>VERIFIED_PUBLIC_HISTORY</x:v>
      </x:c>
      <x:c r="D2" s="11" t="n">
        <x:v>1245</x:v>
      </x:c>
      <x:c r="E2" s="11" t="str">
        <x:v>2025-08-10</x:v>
      </x:c>
      <x:c r="F2" s="11" t="str">
        <x:v>2026-04-24</x:v>
      </x:c>
      <x:c r="G2" s="11" t="n">
        <x:v>12</x:v>
      </x:c>
      <x:c r="H2" s="11" t="str">
        <x:v>Long-form VDM / CF / runtime / provenance ancestry</x:v>
      </x:c>
      <x:c r="I2" s="11" t="str">
        <x:v>Selected structural milestones only; the public repo has a very deep history.</x:v>
      </x:c>
      <x:c r="J2" s="11" t="str">
        <x:v>turn789377search0</x:v>
      </x:c>
    </x:row>
    <x:row r="3">
      <x:c r="A3" s="11" t="str">
        <x:v>primitive_bifurcation_law_VDM</x:v>
      </x:c>
      <x:c r="B3" s="11" t="str">
        <x:v>https://github.com/justinlietz93/primitive_bifurcation_law_VDM</x:v>
      </x:c>
      <x:c r="C3" s="11" t="str">
        <x:v>VERIFIED_PUBLIC_HISTORY</x:v>
      </x:c>
      <x:c r="D3" s="11" t="str"/>
      <x:c r="E3" s="11" t="str">
        <x:v>2026-03-23</x:v>
      </x:c>
      <x:c r="F3" s="11" t="str">
        <x:v>2026-03-23</x:v>
      </x:c>
      <x:c r="G3" s="11" t="n">
        <x:v>3</x:v>
      </x:c>
      <x:c r="H3" s="11" t="str">
        <x:v>Primitive-origin experiments and corrections</x:v>
      </x:c>
      <x:c r="I3" s="11" t="str">
        <x:v>Selection emphasizes the explicit correction, deletion, and structured mathematical-reference update; not exhaustive.</x:v>
      </x:c>
      <x:c r="J3" s="11" t="str">
        <x:v>turn235083view0</x:v>
      </x:c>
    </x:row>
    <x:row r="4">
      <x:c r="A4" s="11" t="str">
        <x:v>Taoism-Mathematics-Research-Project-Internal</x:v>
      </x:c>
      <x:c r="B4" s="11" t="str">
        <x:v>https://github.com/justinlietz93/Taoism-Mathematics-Research-Project-Internal</x:v>
      </x:c>
      <x:c r="C4" s="11" t="str">
        <x:v>VERIFIED_PUBLIC_HISTORY</x:v>
      </x:c>
      <x:c r="D4" s="11" t="str"/>
      <x:c r="E4" s="11" t="str">
        <x:v>2026-06-26</x:v>
      </x:c>
      <x:c r="F4" s="11" t="str">
        <x:v>2026-07-12</x:v>
      </x:c>
      <x:c r="G4" s="11" t="n">
        <x:v>11</x:v>
      </x:c>
      <x:c r="H4" s="11" t="str">
        <x:v>Phase 5 / QBL / Orthad derivation, audit, proof-trace, canon custody, and ORCHESTRA methodology genesis</x:v>
      </x:c>
      <x:c r="I4" s="11" t="str">
        <x:v>Dense research history. In addition to the Phase 5 mathematical work, this Active-Study period is the user-attested point where ORCHESTRA was built and began formalization as a provenance-tracking research methodology. Exact ORCHESTRA commit mapping remains to be attached.</x:v>
      </x:c>
      <x:c r="J4" s="11" t="str">
        <x:v>turn226009view2;turn235083view3</x:v>
      </x:c>
    </x:row>
    <x:row r="5">
      <x:c r="A5" s="11" t="str">
        <x:v>phaseos</x:v>
      </x:c>
      <x:c r="B5" s="11" t="str">
        <x:v>https://github.com/justinlietz93/phaseos</x:v>
      </x:c>
      <x:c r="C5" s="11" t="str">
        <x:v>SUPPLIED_URL_404</x:v>
      </x:c>
      <x:c r="D5" s="11" t="str"/>
      <x:c r="E5" s="11" t="str"/>
      <x:c r="F5" s="11" t="str"/>
      <x:c r="G5" s="11" t="n">
        <x:v>0</x:v>
      </x:c>
      <x:c r="H5" s="11" t="str">
        <x:v>PhaseOS provenance not asserted in this pass</x:v>
      </x:c>
      <x:c r="I5" s="11" t="str">
        <x:v>The exact supplied GitHub repository and commits endpoint returned 404. No commit claims were inferred from unrelated public PhaseOS references.</x:v>
      </x:c>
      <x:c r="J5" s="11" t="str">
        <x:v>turn283875view0;turn283875view1</x:v>
      </x:c>
    </x:row>
    <x:row r="6">
      <x:c r="A6" s="11" t="str">
        <x:v>cortex-engine</x:v>
      </x:c>
      <x:c r="B6" s="11" t="str">
        <x:v>https://github.com/Neuroca-Inc/cortex-engine</x:v>
      </x:c>
      <x:c r="C6" s="11" t="str">
        <x:v>VERIFIED_PUBLIC_HISTORY</x:v>
      </x:c>
      <x:c r="D6" s="11" t="str"/>
      <x:c r="E6" s="11" t="str">
        <x:v>2026-07-12</x:v>
      </x:c>
      <x:c r="F6" s="11" t="str">
        <x:v>2026-08-26</x:v>
      </x:c>
      <x:c r="G6" s="11" t="n">
        <x:v>9</x:v>
      </x:c>
      <x:c r="H6" s="11" t="str">
        <x:v>CP implementation, explicit boundary/rejection, Orthad integration, emergent-physics branch</x:v>
      </x:c>
      <x:c r="I6" s="11" t="str">
        <x:v>Three large commit pages could not be fetched in detail; their dates/messages/short SHAs are verified from GitHub history.</x:v>
      </x:c>
      <x:c r="J6" s="11" t="str">
        <x:v>turn235083view1</x:v>
      </x:c>
    </x:row>
    <x:row r="7">
      <x:c r="A7" s="11" t="str">
        <x:v>vdm_rt</x:v>
      </x:c>
      <x:c r="B7" s="11" t="str">
        <x:v>https://github.com/Neuroca-Inc/vdm_rt</x:v>
      </x:c>
      <x:c r="C7" s="11" t="str">
        <x:v>VERIFIED_PUBLIC_HISTORY</x:v>
      </x:c>
      <x:c r="D7" s="11" t="str"/>
      <x:c r="E7" s="11" t="str">
        <x:v>2026-06-22</x:v>
      </x:c>
      <x:c r="F7" s="11" t="str">
        <x:v>2026-06-27</x:v>
      </x:c>
      <x:c r="G7" s="11" t="n">
        <x:v>10</x:v>
      </x:c>
      <x:c r="H7" s="11" t="str">
        <x:v>Runtime reboot, cleanup, rejected subsystem, experimental replacement architecture</x:v>
      </x:c>
      <x:c r="I7" s="11" t="str">
        <x:v>Selection intentionally preserves the broken-UTD/UTE removal and replacement chain.</x:v>
      </x:c>
      <x:c r="J7" s="11" t="str">
        <x:v>turn235083view2</x:v>
      </x:c>
    </x:row>
  </x:sheetData>
  <x:conditionalFormatting sqref="C2:C7">
    <x:cfRule type="expression" dxfId="6" priority="1">
      <x:formula>C2="SUPPLIED_URL_404"</x:formula>
    </x:cfRule>
    <x:cfRule type="expression" dxfId="7" priority="2">
      <x:formula>C2="VERIFIED_PUBLIC_HISTORY"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25d3c386e4f499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34" hidden="0" customWidth="1"/>
    <x:col min="4" max="4" width="42" hidden="0" customWidth="1"/>
    <x:col min="5" max="5" width="14" hidden="0" customWidth="1"/>
  </x:cols>
  <x:sheetData>
    <x:row r="1">
      <x:c r="A1" s="29" t="str">
        <x:v>Git Provenance Milestone Layer</x:v>
      </x:c>
      <x:c r="B1" s="11"/>
      <x:c r="C1" s="11"/>
      <x:c r="D1" s="11"/>
      <x:c r="E1" s="11"/>
      <x:c r="F1" s="11"/>
      <x:c r="G1" s="11"/>
      <x:c r="H1" s="11"/>
    </x:row>
    <x:row r="2">
      <x:c r="A2" s="11"/>
      <x:c r="B2" s="11"/>
      <x:c r="C2" s="11"/>
      <x:c r="D2" s="11"/>
      <x:c r="E2" s="11"/>
      <x:c r="F2" s="11"/>
      <x:c r="G2" s="11"/>
      <x:c r="H2" s="11"/>
    </x:row>
    <x:row r="3">
      <x:c r="A3" s="26" t="str">
        <x:v>Metric</x:v>
      </x:c>
      <x:c r="B3" s="26" t="str">
        <x:v>Value</x:v>
      </x:c>
      <x:c r="C3" s="11"/>
      <x:c r="D3" s="26" t="str">
        <x:v>Repo</x:v>
      </x:c>
      <x:c r="E3" s="26" t="str">
        <x:v>Milestones</x:v>
      </x:c>
      <x:c r="F3" s="11"/>
      <x:c r="G3" s="11"/>
      <x:c r="H3" s="11"/>
    </x:row>
    <x:row r="4">
      <x:c r="A4" s="11" t="str">
        <x:v>Selected milestones</x:v>
      </x:c>
      <x:c r="B4" s="11" t="n">
        <x:f>COUNTA('Git Milestones'!A2:A46)</x:f>
        <x:v>45</x:v>
      </x:c>
      <x:c r="C4" s="11"/>
      <x:c r="D4" s="11" t="str">
        <x:v>VDM</x:v>
      </x:c>
      <x:c r="E4" s="11" t="n">
        <x:f>COUNTIF('Git Milestones'!B:B,D4)</x:f>
        <x:v>12</x:v>
      </x:c>
      <x:c r="F4" s="11"/>
      <x:c r="G4" s="11"/>
      <x:c r="H4" s="11"/>
    </x:row>
    <x:row r="5">
      <x:c r="A5" s="11" t="str">
        <x:v>Repositories with verified public history</x:v>
      </x:c>
      <x:c r="B5" s="11" t="n">
        <x:f>COUNTIF('Repo Summary'!C2:C7,"VERIFIED_PUBLIC_HISTORY")</x:f>
        <x:v>5</x:v>
      </x:c>
      <x:c r="C5" s="11"/>
      <x:c r="D5" s="11" t="str">
        <x:v>primitive_bifurcation_law_VDM</x:v>
      </x:c>
      <x:c r="E5" s="11" t="n">
        <x:f>COUNTIF('Git Milestones'!B:B,D5)</x:f>
        <x:v>3</x:v>
      </x:c>
      <x:c r="F5" s="11"/>
      <x:c r="G5" s="11"/>
      <x:c r="H5" s="11"/>
    </x:row>
    <x:row r="6">
      <x:c r="A6" s="11" t="str">
        <x:v>Repositories unresolved at supplied URL</x:v>
      </x:c>
      <x:c r="B6" s="11" t="n">
        <x:f>COUNTIF('Repo Summary'!C2:C7,"SUPPLIED_URL_404")</x:f>
        <x:v>1</x:v>
      </x:c>
      <x:c r="C6" s="11"/>
      <x:c r="D6" s="11" t="str">
        <x:v>Taoism-Mathematics-Research-Project-Internal</x:v>
      </x:c>
      <x:c r="E6" s="11" t="n">
        <x:f>COUNTIF('Git Milestones'!B:B,D6)</x:f>
        <x:v>11</x:v>
      </x:c>
      <x:c r="F6" s="11"/>
      <x:c r="G6" s="11"/>
      <x:c r="H6" s="11"/>
    </x:row>
    <x:row r="7">
      <x:c r="A7" s="11" t="str">
        <x:v>Commit-detail verified rows</x:v>
      </x:c>
      <x:c r="B7" s="11" t="n">
        <x:f>COUNTIF('Git Milestones'!I2:I46,"COMMIT-DETAIL-VERIFIED")</x:f>
        <x:v>42</x:v>
      </x:c>
      <x:c r="C7" s="11"/>
      <x:c r="D7" s="11" t="str">
        <x:v>phaseos</x:v>
      </x:c>
      <x:c r="E7" s="11" t="n">
        <x:f>COUNTIF('Git Milestones'!B:B,D7)</x:f>
        <x:v>0</x:v>
      </x:c>
      <x:c r="F7" s="11"/>
      <x:c r="G7" s="11"/>
      <x:c r="H7" s="11"/>
    </x:row>
    <x:row r="8">
      <x:c r="A8" s="11" t="str">
        <x:v>Correction/rejection/boundary milestones</x:v>
      </x:c>
      <x:c r="B8" s="11" t="n">
        <x:f>COUNTIF('Git Milestones'!H2:H46,"*CORRECTION*")+COUNTIF('Git Milestones'!H2:H46,"*REJECTION*")+COUNTIF('Git Milestones'!H2:H46,"BOUNDARY/AUDIT")</x:f>
        <x:v>1</x:v>
      </x:c>
      <x:c r="C8" s="11"/>
      <x:c r="D8" s="11" t="str">
        <x:v>cortex-engine</x:v>
      </x:c>
      <x:c r="E8" s="11" t="n">
        <x:f>COUNTIF('Git Milestones'!B:B,D8)</x:f>
        <x:v>9</x:v>
      </x:c>
      <x:c r="F8" s="11"/>
      <x:c r="G8" s="11"/>
      <x:c r="H8" s="11"/>
    </x:row>
    <x:row r="9">
      <x:c r="A9" s="11"/>
      <x:c r="B9" s="11"/>
      <x:c r="C9" s="11"/>
      <x:c r="D9" s="11" t="str">
        <x:v>vdm_rt</x:v>
      </x:c>
      <x:c r="E9" s="11" t="n">
        <x:f>COUNTIF('Git Milestones'!B:B,D9)</x:f>
        <x:v>10</x:v>
      </x:c>
      <x:c r="F9" s="11"/>
      <x:c r="G9" s="11"/>
      <x:c r="H9" s="11"/>
    </x:row>
    <x:row r="10">
      <x:c r="A10" s="11"/>
      <x:c r="B10" s="11"/>
      <x:c r="C10" s="11"/>
      <x:c r="D10" s="11"/>
      <x:c r="E10" s="11"/>
      <x:c r="F10" s="11"/>
      <x:c r="G10" s="11"/>
      <x:c r="H10" s="11"/>
    </x:row>
    <x:row r="11">
      <x:c r="A11" s="11"/>
      <x:c r="B11" s="11"/>
      <x:c r="C11" s="11"/>
      <x:c r="D11" s="11"/>
      <x:c r="E11" s="11"/>
      <x:c r="F11" s="11"/>
      <x:c r="G11" s="11"/>
      <x:c r="H11" s="11"/>
    </x:row>
    <x:row r="12">
      <x:c r="A12" s="11"/>
      <x:c r="B12" s="11"/>
      <x:c r="C12" s="11"/>
      <x:c r="D12" s="11"/>
      <x:c r="E12" s="11"/>
      <x:c r="F12" s="11"/>
      <x:c r="G12" s="11"/>
      <x:c r="H12" s="11"/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739ca5b6a73a4489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0" hidden="0" customWidth="1"/>
    <x:col min="4" max="4" width="20" hidden="0" customWidth="1"/>
    <x:col min="5" max="5" width="26" hidden="0" customWidth="1"/>
    <x:col min="6" max="6" width="62" hidden="0" customWidth="1"/>
    <x:col min="7" max="7" width="30" hidden="0" customWidth="1"/>
    <x:col min="8" max="8" width="14" hidden="0" customWidth="1"/>
    <x:col min="9" max="9" width="42" hidden="0" customWidth="1"/>
    <x:col min="10" max="10" width="58" hidden="0" customWidth="1"/>
    <x:col min="11" max="11" width="58" hidden="0" customWidth="1"/>
  </x:cols>
  <x:sheetData>
    <x:row r="1">
      <x:c r="A1" s="35" t="str">
        <x:v>Method_ID</x:v>
      </x:c>
      <x:c r="B1" s="35" t="str">
        <x:v>Sequence</x:v>
      </x:c>
      <x:c r="C1" s="35" t="str">
        <x:v>Environment_or_Project</x:v>
      </x:c>
      <x:c r="D1" s="35" t="str">
        <x:v>Method_or_System</x:v>
      </x:c>
      <x:c r="E1" s="35" t="str">
        <x:v>Relationship</x:v>
      </x:c>
      <x:c r="F1" s="35" t="str">
        <x:v>What_Changed</x:v>
      </x:c>
      <x:c r="G1" s="35" t="str">
        <x:v>Provenance_Status</x:v>
      </x:c>
      <x:c r="H1" s="35" t="str">
        <x:v>Event_Date</x:v>
      </x:c>
      <x:c r="I1" s="35" t="str">
        <x:v>Git_or_Artifact_Link</x:v>
      </x:c>
      <x:c r="J1" s="35" t="str">
        <x:v>Downstream_Consequence</x:v>
      </x:c>
      <x:c r="K1" s="35" t="str">
        <x:v>Notes</x:v>
      </x:c>
    </x:row>
    <x:row r="2">
      <x:c r="A2" s="11" t="str">
        <x:v>METH-001</x:v>
      </x:c>
      <x:c r="B2" s="11" t="n">
        <x:v>1</x:v>
      </x:c>
      <x:c r="C2" s="11" t="str">
        <x:v>Taoism / Active-Study</x:v>
      </x:c>
      <x:c r="D2" s="11" t="str">
        <x:v>ORCHESTRA</x:v>
      </x:c>
      <x:c r="E2" s="11" t="str">
        <x:v>BUILT_AND_FORMALIZED_DURING</x:v>
      </x:c>
      <x:c r="F2" s="11" t="str">
        <x:v>ORCHESTRA was built during the Taoism / Active-Study period and began to be formalized as an explicit provenance-tracking research methodology, not merely an execution harness.</x:v>
      </x:c>
      <x:c r="G2" s="11" t="str">
        <x:v>USER-ATTESTED / DATE-UNRESOLVED</x:v>
      </x:c>
      <x:c r="H2" s="11"/>
      <x:c r="I2" s="11" t="str"/>
      <x:c r="J2" s="11" t="str">
        <x:v>Creates a methodological layer for recording research authority, provenance, audits, failures, derivation state, and research progression alongside the mathematics.</x:v>
      </x:c>
      <x:c r="K2" s="11" t="str">
        <x:v>Exact first ORCHESTRA commit/artifact date is intentionally left blank until matched to a concrete repository artifact or commit.</x:v>
      </x:c>
    </x:row>
    <x:row r="3">
      <x:c r="A3" s="11" t="str">
        <x:v>METH-002</x:v>
      </x:c>
      <x:c r="B3" s="11" t="n">
        <x:v>2</x:v>
      </x:c>
      <x:c r="C3" s="11" t="str">
        <x:v>Post-ORCHESTRA methodology development</x:v>
      </x:c>
      <x:c r="D3" s="11" t="str">
        <x:v>Cairn</x:v>
      </x:c>
      <x:c r="E3" s="11" t="str">
        <x:v>FOLLOWS_ORCHESTRA</x:v>
      </x:c>
      <x:c r="F3" s="11" t="str">
        <x:v>Work on Cairn begins after ORCHESTRA, continuing the provenance/research-methodology lineage.</x:v>
      </x:c>
      <x:c r="G3" s="11" t="str">
        <x:v>USER-ATTESTED / DATE-UNRESOLVED</x:v>
      </x:c>
      <x:c r="H3" s="11"/>
      <x:c r="I3" s="11" t="str"/>
      <x:c r="J3" s="11" t="str">
        <x:v>Extends the methodology lineage beyond ORCHESTRA; exact functional relationship should be tied to Cairn's own repository/artifacts rather than inferred here.</x:v>
      </x:c>
      <x:c r="K3" s="11" t="str">
        <x:v>No Cairn repository or exact first artifact was asserted in the Git milestone pass, so this row preserves sequence without inventing a date or commit.</x:v>
      </x:c>
    </x:row>
  </x:sheetData>
  <x:conditionalFormatting sqref="G2:G3">
    <x:cfRule type="expression" dxfId="8" priority="1">
      <x:formula>ISNUMBER(SEARCH("DATE-UNRESOLVED",G2))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f45d0d428134541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55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0" hidden="0" customWidth="1"/>
    <x:col min="11" max="11" width="10" hidden="0" customWidth="1"/>
    <x:col min="12" max="12" width="55" hidden="0" customWidth="1"/>
  </x:cols>
  <x:sheetData>
    <x:row r="1">
      <x:c r="A1" s="41" t="str">
        <x:v>source</x:v>
      </x:c>
      <x:c r="B1" s="41" t="str">
        <x:v>identifier</x:v>
      </x:c>
      <x:c r="C1" s="41" t="str">
        <x:v>title</x:v>
      </x:c>
      <x:c r="D1" s="41" t="str">
        <x:v>date</x:v>
      </x:c>
      <x:c r="E1" s="41" t="str">
        <x:v>views</x:v>
      </x:c>
      <x:c r="F1" s="41" t="str">
        <x:v>unique_views</x:v>
      </x:c>
      <x:c r="G1" s="41" t="str">
        <x:v>downloads</x:v>
      </x:c>
      <x:c r="H1" s="41" t="str">
        <x:v>unique_downloads</x:v>
      </x:c>
      <x:c r="I1" s="41" t="str">
        <x:v>human_ratio</x:v>
      </x:c>
      <x:c r="J1" s="41" t="str">
        <x:v>stars</x:v>
      </x:c>
      <x:c r="K1" s="41" t="str">
        <x:v>forks</x:v>
      </x:c>
      <x:c r="L1" s="41" t="str">
        <x:v>url</x:v>
      </x:c>
    </x:row>
    <x:row r="2">
      <x:c r="A2" s="11" t="str">
        <x:v>zenodo</x:v>
      </x:c>
      <x:c r="B2" s="11" t="str">
        <x:v>10.5281/zenodo.22210019</x:v>
      </x:c>
      <x:c r="C2" s="11" t="str">
        <x:v>Phase Calculus Rosetta Stone</x:v>
      </x:c>
      <x:c r="D2" s="11" t="str">
        <x:v>2026-08-31</x:v>
      </x:c>
      <x:c r="E2" s="11" t="str">
        <x:v>2</x:v>
      </x:c>
      <x:c r="F2" s="11" t="str">
        <x:v>2</x:v>
      </x:c>
      <x:c r="G2" s="11" t="str">
        <x:v>2</x:v>
      </x:c>
      <x:c r="H2" s="11" t="str">
        <x:v>2</x:v>
      </x:c>
      <x:c r="I2" s="11" t="str">
        <x:v>1</x:v>
      </x:c>
      <x:c r="J2" s="11" t="str"/>
      <x:c r="K2" s="11" t="str"/>
      <x:c r="L2" s="11" t="str">
        <x:v>https://zenodo.org/records/22210019</x:v>
      </x:c>
    </x:row>
    <x:row r="3">
      <x:c r="A3" s="11" t="str">
        <x:v>zenodo</x:v>
      </x:c>
      <x:c r="B3" s="11" t="str">
        <x:v>10.5281/zenodo.22210015</x:v>
      </x:c>
      <x:c r="C3" s="11" t="str">
        <x:v>Cellular Sheaf Theory for the Orthad A Proposal for Local-to-Global Consistency, Reconstruction, and Seal Obstructions</x:v>
      </x:c>
      <x:c r="D3" s="11" t="str">
        <x:v>2026-08-31</x:v>
      </x:c>
      <x:c r="E3" s="11" t="str">
        <x:v>2</x:v>
      </x:c>
      <x:c r="F3" s="11" t="str">
        <x:v>1</x:v>
      </x:c>
      <x:c r="G3" s="11" t="str">
        <x:v>2</x:v>
      </x:c>
      <x:c r="H3" s="11" t="str">
        <x:v>2</x:v>
      </x:c>
      <x:c r="I3" s="11" t="str">
        <x:v>1</x:v>
      </x:c>
      <x:c r="J3" s="11" t="str"/>
      <x:c r="K3" s="11" t="str"/>
      <x:c r="L3" s="11" t="str">
        <x:v>https://zenodo.org/records/22210015</x:v>
      </x:c>
    </x:row>
    <x:row r="4">
      <x:c r="A4" s="11" t="str">
        <x:v>zenodo</x:v>
      </x:c>
      <x:c r="B4" s="11" t="str">
        <x:v>10.5281/zenodo.22209910</x:v>
      </x:c>
      <x:c r="C4" s="11" t="str">
        <x:v>Proposed Future Research in Phase Calculus</x:v>
      </x:c>
      <x:c r="D4" s="11" t="str">
        <x:v>2026-08-31</x:v>
      </x:c>
      <x:c r="E4" s="11" t="str">
        <x:v>0</x:v>
      </x:c>
      <x:c r="F4" s="11" t="str">
        <x:v>0</x:v>
      </x:c>
      <x:c r="G4" s="11" t="str">
        <x:v>2</x:v>
      </x:c>
      <x:c r="H4" s="11" t="str">
        <x:v>2</x:v>
      </x:c>
      <x:c r="I4" s="11" t="str">
        <x:v>1</x:v>
      </x:c>
      <x:c r="J4" s="11" t="str"/>
      <x:c r="K4" s="11" t="str"/>
      <x:c r="L4" s="11" t="str">
        <x:v>https://zenodo.org/records/22209910</x:v>
      </x:c>
    </x:row>
    <x:row r="5">
      <x:c r="A5" s="11" t="str">
        <x:v>zenodo</x:v>
      </x:c>
      <x:c r="B5" s="11" t="str">
        <x:v>10.5281/zenodo.22209950</x:v>
      </x:c>
      <x:c r="C5" s="11" t="str">
        <x:v>Proposal for an Orthad Derivation of the Quarter-Twisted Conjugate-Edge Kernel</x:v>
      </x:c>
      <x:c r="D5" s="11" t="str">
        <x:v>2026-08-31</x:v>
      </x:c>
      <x:c r="E5" s="11" t="str">
        <x:v>0</x:v>
      </x:c>
      <x:c r="F5" s="11" t="str">
        <x:v>0</x:v>
      </x:c>
      <x:c r="G5" s="11" t="str">
        <x:v>2</x:v>
      </x:c>
      <x:c r="H5" s="11" t="str">
        <x:v>2</x:v>
      </x:c>
      <x:c r="I5" s="11" t="str">
        <x:v>1</x:v>
      </x:c>
      <x:c r="J5" s="11" t="str"/>
      <x:c r="K5" s="11" t="str"/>
      <x:c r="L5" s="11" t="str">
        <x:v>https://zenodo.org/records/22209950</x:v>
      </x:c>
    </x:row>
    <x:row r="6">
      <x:c r="A6" s="11" t="str">
        <x:v>zenodo</x:v>
      </x:c>
      <x:c r="B6" s="11" t="str">
        <x:v>10.5281/zenodo.22209981</x:v>
      </x:c>
      <x:c r="C6" s="11" t="str">
        <x:v>Mapping the Collatz Conjecture with Phase Calculus A Proposal for Inverse Words, Base-L Carries, and Orthad Realization</x:v>
      </x:c>
      <x:c r="D6" s="11" t="str">
        <x:v>2026-08-31</x:v>
      </x:c>
      <x:c r="E6" s="11" t="str">
        <x:v>0</x:v>
      </x:c>
      <x:c r="F6" s="11" t="str">
        <x:v>0</x:v>
      </x:c>
      <x:c r="G6" s="11" t="str">
        <x:v>2</x:v>
      </x:c>
      <x:c r="H6" s="11" t="str">
        <x:v>2</x:v>
      </x:c>
      <x:c r="I6" s="11" t="str">
        <x:v>1</x:v>
      </x:c>
      <x:c r="J6" s="11" t="str"/>
      <x:c r="K6" s="11" t="str"/>
      <x:c r="L6" s="11" t="str">
        <x:v>https://zenodo.org/records/22209981</x:v>
      </x:c>
    </x:row>
    <x:row r="7">
      <x:c r="A7" s="11" t="str">
        <x:v>zenodo</x:v>
      </x:c>
      <x:c r="B7" s="11" t="str">
        <x:v>10.5281/zenodo.22289025</x:v>
      </x:c>
      <x:c r="C7" s="11" t="str">
        <x:v>Arithmetic and Calculus on Base-L Lifted-Word Spaces</x:v>
      </x:c>
      <x:c r="D7" s="11" t="str">
        <x:v>2026-09-04</x:v>
      </x:c>
      <x:c r="E7" s="11" t="str">
        <x:v>5</x:v>
      </x:c>
      <x:c r="F7" s="11" t="str">
        <x:v>4</x:v>
      </x:c>
      <x:c r="G7" s="11" t="str">
        <x:v>2</x:v>
      </x:c>
      <x:c r="H7" s="11" t="str">
        <x:v>2</x:v>
      </x:c>
      <x:c r="I7" s="11" t="str">
        <x:v>1</x:v>
      </x:c>
      <x:c r="J7" s="11" t="str"/>
      <x:c r="K7" s="11" t="str"/>
      <x:c r="L7" s="11" t="str">
        <x:v>https://zenodo.org/records/22289025</x:v>
      </x:c>
    </x:row>
    <x:row r="8">
      <x:c r="A8" s="11" t="str">
        <x:v>zenodo</x:v>
      </x:c>
      <x:c r="B8" s="11" t="str">
        <x:v>10.5281/zenodo.22103830</x:v>
      </x:c>
      <x:c r="C8" s="11" t="str">
        <x:v>Counterfactual Echo Gain (CEG): Future-Aware Metriplectic Assistance Yields Gate-Certified Echo Improvement</x:v>
      </x:c>
      <x:c r="D8" s="11" t="str">
        <x:v>2026-08-26</x:v>
      </x:c>
      <x:c r="E8" s="11" t="str">
        <x:v>6</x:v>
      </x:c>
      <x:c r="F8" s="11" t="str">
        <x:v>5</x:v>
      </x:c>
      <x:c r="G8" s="11" t="str">
        <x:v>3</x:v>
      </x:c>
      <x:c r="H8" s="11" t="str">
        <x:v>3</x:v>
      </x:c>
      <x:c r="I8" s="11" t="str">
        <x:v>1</x:v>
      </x:c>
      <x:c r="J8" s="11" t="str"/>
      <x:c r="K8" s="11" t="str"/>
      <x:c r="L8" s="11" t="str">
        <x:v>https://zenodo.org/records/22103830</x:v>
      </x:c>
    </x:row>
    <x:row r="9">
      <x:c r="A9" s="11" t="str">
        <x:v>zenodo</x:v>
      </x:c>
      <x:c r="B9" s="11" t="str">
        <x:v>10.5281/zenodo.22103196</x:v>
      </x:c>
      <x:c r="C9" s="11" t="str">
        <x:v>A Logarithmic First Integral for the Logistic On Site Law in VDM</x:v>
      </x:c>
      <x:c r="D9" s="11" t="str">
        <x:v>2026-08-25</x:v>
      </x:c>
      <x:c r="E9" s="11" t="str">
        <x:v>28</x:v>
      </x:c>
      <x:c r="F9" s="11" t="str">
        <x:v>23</x:v>
      </x:c>
      <x:c r="G9" s="11" t="str">
        <x:v>38</x:v>
      </x:c>
      <x:c r="H9" s="11" t="str">
        <x:v>29</x:v>
      </x:c>
      <x:c r="I9" s="11" t="str">
        <x:v>0.763</x:v>
      </x:c>
      <x:c r="J9" s="11" t="str"/>
      <x:c r="K9" s="11" t="str"/>
      <x:c r="L9" s="11" t="str">
        <x:v>https://zenodo.org/records/22103196</x:v>
      </x:c>
    </x:row>
    <x:row r="10">
      <x:c r="A10" s="11" t="str">
        <x:v>zenodo</x:v>
      </x:c>
      <x:c r="B10" s="11" t="str">
        <x:v>10.5281/zenodo.22102244</x:v>
      </x:c>
      <x:c r="C10" s="11" t="str">
        <x:v>A Logarithmic First Integral for the Logistic On Site Law in Void Dynamics</x:v>
      </x:c>
      <x:c r="D10" s="11" t="str">
        <x:v>2026-08-25</x:v>
      </x:c>
      <x:c r="E10" s="11" t="str">
        <x:v>7</x:v>
      </x:c>
      <x:c r="F10" s="11" t="str">
        <x:v>7</x:v>
      </x:c>
      <x:c r="G10" s="11" t="str">
        <x:v>6</x:v>
      </x:c>
      <x:c r="H10" s="11" t="str">
        <x:v>4</x:v>
      </x:c>
      <x:c r="I10" s="11" t="str">
        <x:v>0.667</x:v>
      </x:c>
      <x:c r="J10" s="11" t="str"/>
      <x:c r="K10" s="11" t="str"/>
      <x:c r="L10" s="11" t="str">
        <x:v>https://zenodo.org/records/22102244</x:v>
      </x:c>
    </x:row>
    <x:row r="11">
      <x:c r="A11" s="11" t="str">
        <x:v>zenodo</x:v>
      </x:c>
      <x:c r="B11" s="11" t="str">
        <x:v>10.5281/zenodo.21586157</x:v>
      </x:c>
      <x:c r="C11" s="11" t="str">
        <x:v>Phase Calculus and the 2026 Jacobian Counterexample</x:v>
      </x:c>
      <x:c r="D11" s="11" t="str">
        <x:v>2026-07-22</x:v>
      </x:c>
      <x:c r="E11" s="11" t="str">
        <x:v>26</x:v>
      </x:c>
      <x:c r="F11" s="11" t="str">
        <x:v>24</x:v>
      </x:c>
      <x:c r="G11" s="11" t="str">
        <x:v>5</x:v>
      </x:c>
      <x:c r="H11" s="11" t="str">
        <x:v>5</x:v>
      </x:c>
      <x:c r="I11" s="11" t="str">
        <x:v>1</x:v>
      </x:c>
      <x:c r="J11" s="11" t="str"/>
      <x:c r="K11" s="11" t="str"/>
      <x:c r="L11" s="11" t="str">
        <x:v>https://zenodo.org/records/21586157</x:v>
      </x:c>
    </x:row>
    <x:row r="12">
      <x:c r="A12" s="11" t="str">
        <x:v>zenodo</x:v>
      </x:c>
      <x:c r="B12" s="11" t="str">
        <x:v>10.5281/zenodo.21459102</x:v>
      </x:c>
      <x:c r="C12" s="11" t="str">
        <x:v>CF09: Gauge Field Emergence from the Berry Connection</x:v>
      </x:c>
      <x:c r="D12" s="11" t="str">
        <x:v>2026-07-20</x:v>
      </x:c>
      <x:c r="E12" s="11" t="str">
        <x:v>16</x:v>
      </x:c>
      <x:c r="F12" s="11" t="str">
        <x:v>16</x:v>
      </x:c>
      <x:c r="G12" s="11" t="str">
        <x:v>13</x:v>
      </x:c>
      <x:c r="H12" s="11" t="str">
        <x:v>13</x:v>
      </x:c>
      <x:c r="I12" s="11" t="str">
        <x:v>1</x:v>
      </x:c>
      <x:c r="J12" s="11" t="str"/>
      <x:c r="K12" s="11" t="str"/>
      <x:c r="L12" s="11" t="str">
        <x:v>https://zenodo.org/records/21459102</x:v>
      </x:c>
    </x:row>
    <x:row r="13">
      <x:c r="A13" s="11" t="str">
        <x:v>zenodo</x:v>
      </x:c>
      <x:c r="B13" s="11" t="str">
        <x:v>10.5281/zenodo.21443828</x:v>
      </x:c>
      <x:c r="C13" s="11" t="str">
        <x:v>The Lifted Object: A Natural-Language Walkthrough from Primitive Custody to the Orthad</x:v>
      </x:c>
      <x:c r="D13" s="11" t="str">
        <x:v>2026-07-19</x:v>
      </x:c>
      <x:c r="E13" s="11" t="str">
        <x:v>31</x:v>
      </x:c>
      <x:c r="F13" s="11" t="str">
        <x:v>29</x:v>
      </x:c>
      <x:c r="G13" s="11" t="str">
        <x:v>12</x:v>
      </x:c>
      <x:c r="H13" s="11" t="str">
        <x:v>12</x:v>
      </x:c>
      <x:c r="I13" s="11" t="str">
        <x:v>1</x:v>
      </x:c>
      <x:c r="J13" s="11" t="str"/>
      <x:c r="K13" s="11" t="str"/>
      <x:c r="L13" s="11" t="str">
        <x:v>https://zenodo.org/records/21443828</x:v>
      </x:c>
    </x:row>
    <x:row r="14">
      <x:c r="A14" s="11" t="str">
        <x:v>zenodo</x:v>
      </x:c>
      <x:c r="B14" s="11" t="str">
        <x:v>10.5281/zenodo.21439518</x:v>
      </x:c>
      <x:c r="C14" s="11" t="str">
        <x:v>The Lifted Object: A Natural-Language Walkthrough from Primitive Custody to the Orthad</x:v>
      </x:c>
      <x:c r="D14" s="11" t="str">
        <x:v>2026-07-19</x:v>
      </x:c>
      <x:c r="E14" s="11" t="str">
        <x:v>34</x:v>
      </x:c>
      <x:c r="F14" s="11" t="str">
        <x:v>26</x:v>
      </x:c>
      <x:c r="G14" s="11" t="str">
        <x:v>5</x:v>
      </x:c>
      <x:c r="H14" s="11" t="str">
        <x:v>5</x:v>
      </x:c>
      <x:c r="I14" s="11" t="str">
        <x:v>1</x:v>
      </x:c>
      <x:c r="J14" s="11" t="str"/>
      <x:c r="K14" s="11" t="str"/>
      <x:c r="L14" s="11" t="str">
        <x:v>https://zenodo.org/records/21439518</x:v>
      </x:c>
    </x:row>
    <x:row r="15">
      <x:c r="A15" s="11" t="str">
        <x:v>zenodo</x:v>
      </x:c>
      <x:c r="B15" s="11" t="str">
        <x:v>10.5281/zenodo.20091655</x:v>
      </x:c>
      <x:c r="C15" s="11" t="str">
        <x:v>CF10: Global Regularity for the Three-Dimensional Navier–Stokes Equations</x:v>
      </x:c>
      <x:c r="D15" s="11" t="str">
        <x:v>2026-04-27</x:v>
      </x:c>
      <x:c r="E15" s="11" t="str">
        <x:v>57</x:v>
      </x:c>
      <x:c r="F15" s="11" t="str">
        <x:v>53</x:v>
      </x:c>
      <x:c r="G15" s="11" t="str">
        <x:v>144</x:v>
      </x:c>
      <x:c r="H15" s="11" t="str">
        <x:v>132</x:v>
      </x:c>
      <x:c r="I15" s="11" t="str">
        <x:v>0.917</x:v>
      </x:c>
      <x:c r="J15" s="11" t="str"/>
      <x:c r="K15" s="11" t="str"/>
      <x:c r="L15" s="11" t="str">
        <x:v>https://zenodo.org/records/20091655</x:v>
      </x:c>
    </x:row>
    <x:row r="16">
      <x:c r="A16" s="11" t="str">
        <x:v>zenodo</x:v>
      </x:c>
      <x:c r="B16" s="11" t="str">
        <x:v>10.5281/zenodo.19903551</x:v>
      </x:c>
      <x:c r="C16" s="11" t="str">
        <x:v>Retained Loop Projection and Branch-History Monodromy in Transdimensional Anomalous Hall Transport</x:v>
      </x:c>
      <x:c r="D16" s="11" t="str">
        <x:v>2026-04-30</x:v>
      </x:c>
      <x:c r="E16" s="11" t="str">
        <x:v>35</x:v>
      </x:c>
      <x:c r="F16" s="11" t="str">
        <x:v>31</x:v>
      </x:c>
      <x:c r="G16" s="11" t="str">
        <x:v>37</x:v>
      </x:c>
      <x:c r="H16" s="11" t="str">
        <x:v>32</x:v>
      </x:c>
      <x:c r="I16" s="11" t="str">
        <x:v>0.865</x:v>
      </x:c>
      <x:c r="J16" s="11" t="str"/>
      <x:c r="K16" s="11" t="str"/>
      <x:c r="L16" s="11" t="str">
        <x:v>https://zenodo.org/records/19903551</x:v>
      </x:c>
    </x:row>
    <x:row r="17">
      <x:c r="A17" s="11" t="str">
        <x:v>zenodo</x:v>
      </x:c>
      <x:c r="B17" s="11" t="str">
        <x:v>10.5281/zenodo.19836509</x:v>
      </x:c>
      <x:c r="C17" s="11" t="str">
        <x:v>CF10: VDM Lattice Hydrodynamics, Continuum Limit, and Regularity Program</x:v>
      </x:c>
      <x:c r="D17" s="11" t="str">
        <x:v>2026-04-27</x:v>
      </x:c>
      <x:c r="E17" s="11" t="str">
        <x:v>36</x:v>
      </x:c>
      <x:c r="F17" s="11" t="str">
        <x:v>36</x:v>
      </x:c>
      <x:c r="G17" s="11" t="str">
        <x:v>63</x:v>
      </x:c>
      <x:c r="H17" s="11" t="str">
        <x:v>61</x:v>
      </x:c>
      <x:c r="I17" s="11" t="str">
        <x:v>0.968</x:v>
      </x:c>
      <x:c r="J17" s="11" t="str"/>
      <x:c r="K17" s="11" t="str"/>
      <x:c r="L17" s="11" t="str">
        <x:v>https://zenodo.org/records/19836509</x:v>
      </x:c>
    </x:row>
    <x:row r="18">
      <x:c r="A18" s="11" t="str">
        <x:v>zenodo</x:v>
      </x:c>
      <x:c r="B18" s="11" t="str">
        <x:v>10.5281/zenodo.19834541</x:v>
      </x:c>
      <x:c r="C18" s="11" t="str">
        <x:v>CF10: VDM Lattice Hydrodynamics, Continuum Limit, and Regularity Program</x:v>
      </x:c>
      <x:c r="D18" s="11" t="str">
        <x:v>2026-04-27</x:v>
      </x:c>
      <x:c r="E18" s="11" t="str">
        <x:v>23</x:v>
      </x:c>
      <x:c r="F18" s="11" t="str">
        <x:v>22</x:v>
      </x:c>
      <x:c r="G18" s="11" t="str">
        <x:v>33</x:v>
      </x:c>
      <x:c r="H18" s="11" t="str">
        <x:v>32</x:v>
      </x:c>
      <x:c r="I18" s="11" t="str">
        <x:v>0.97</x:v>
      </x:c>
      <x:c r="J18" s="11" t="str"/>
      <x:c r="K18" s="11" t="str"/>
      <x:c r="L18" s="11" t="str">
        <x:v>https://zenodo.org/records/19834541</x:v>
      </x:c>
    </x:row>
    <x:row r="19">
      <x:c r="A19" s="11" t="str">
        <x:v>zenodo</x:v>
      </x:c>
      <x:c r="B19" s="11" t="str">
        <x:v>10.5281/zenodo.19826747</x:v>
      </x:c>
      <x:c r="C19" s="11" t="str">
        <x:v>CF10: VDM Lattice Hydrodynamics, Continuum Limit, and Regularity Program</x:v>
      </x:c>
      <x:c r="D19" s="11" t="str">
        <x:v>2026-04-27</x:v>
      </x:c>
      <x:c r="E19" s="11" t="str">
        <x:v>18</x:v>
      </x:c>
      <x:c r="F19" s="11" t="str">
        <x:v>15</x:v>
      </x:c>
      <x:c r="G19" s="11" t="str">
        <x:v>33</x:v>
      </x:c>
      <x:c r="H19" s="11" t="str">
        <x:v>29</x:v>
      </x:c>
      <x:c r="I19" s="11" t="str">
        <x:v>0.879</x:v>
      </x:c>
      <x:c r="J19" s="11" t="str"/>
      <x:c r="K19" s="11" t="str"/>
      <x:c r="L19" s="11" t="str">
        <x:v>https://zenodo.org/records/19826747</x:v>
      </x:c>
    </x:row>
    <x:row r="20">
      <x:c r="A20" s="11" t="str">
        <x:v>zenodo</x:v>
      </x:c>
      <x:c r="B20" s="11" t="str">
        <x:v>10.5281/zenodo.19806286</x:v>
      </x:c>
      <x:c r="C20" s="11" t="str">
        <x:v>CF10: VDM Lattice Hydrodynamics, Continuum Limit, and Regularity Program</x:v>
      </x:c>
      <x:c r="D20" s="11" t="str">
        <x:v>2026-03-22</x:v>
      </x:c>
      <x:c r="E20" s="11" t="str">
        <x:v>33</x:v>
      </x:c>
      <x:c r="F20" s="11" t="str">
        <x:v>30</x:v>
      </x:c>
      <x:c r="G20" s="11" t="str">
        <x:v>101</x:v>
      </x:c>
      <x:c r="H20" s="11" t="str">
        <x:v>99</x:v>
      </x:c>
      <x:c r="I20" s="11" t="str">
        <x:v>0.98</x:v>
      </x:c>
      <x:c r="J20" s="11" t="str"/>
      <x:c r="K20" s="11" t="str"/>
      <x:c r="L20" s="11" t="str">
        <x:v>https://zenodo.org/records/19806286</x:v>
      </x:c>
    </x:row>
    <x:row r="21">
      <x:c r="A21" s="11" t="str">
        <x:v>zenodo</x:v>
      </x:c>
      <x:c r="B21" s="11" t="str">
        <x:v>10.5281/zenodo.19804479</x:v>
      </x:c>
      <x:c r="C21" s="11" t="str">
        <x:v>CF10: VDM Lattice Hydrodynamics, Continuum Limit, and Regularity Program</x:v>
      </x:c>
      <x:c r="D21" s="11" t="str">
        <x:v>2026-03-22</x:v>
      </x:c>
      <x:c r="E21" s="11" t="str">
        <x:v>21</x:v>
      </x:c>
      <x:c r="F21" s="11" t="str">
        <x:v>20</x:v>
      </x:c>
      <x:c r="G21" s="11" t="str">
        <x:v>40</x:v>
      </x:c>
      <x:c r="H21" s="11" t="str">
        <x:v>37</x:v>
      </x:c>
      <x:c r="I21" s="11" t="str">
        <x:v>0.925</x:v>
      </x:c>
      <x:c r="J21" s="11" t="str"/>
      <x:c r="K21" s="11" t="str"/>
      <x:c r="L21" s="11" t="str">
        <x:v>https://zenodo.org/records/19804479</x:v>
      </x:c>
    </x:row>
    <x:row r="22">
      <x:c r="A22" s="11" t="str">
        <x:v>zenodo</x:v>
      </x:c>
      <x:c r="B22" s="11" t="str">
        <x:v>10.5281/zenodo.19750321</x:v>
      </x:c>
      <x:c r="C22" s="11" t="str">
        <x:v>The Transcendental Wall: State-Complete Inversion and Liouvillian Closure in Phase Calculus</x:v>
      </x:c>
      <x:c r="D22" s="11" t="str">
        <x:v>2026-04-25</x:v>
      </x:c>
      <x:c r="E22" s="11" t="str">
        <x:v>70</x:v>
      </x:c>
      <x:c r="F22" s="11" t="str">
        <x:v>69</x:v>
      </x:c>
      <x:c r="G22" s="11" t="str">
        <x:v>42</x:v>
      </x:c>
      <x:c r="H22" s="11" t="str">
        <x:v>40</x:v>
      </x:c>
      <x:c r="I22" s="11" t="str">
        <x:v>0.952</x:v>
      </x:c>
      <x:c r="J22" s="11" t="str"/>
      <x:c r="K22" s="11" t="str"/>
      <x:c r="L22" s="11" t="str">
        <x:v>https://zenodo.org/records/19750321</x:v>
      </x:c>
    </x:row>
    <x:row r="23">
      <x:c r="A23" s="11" t="str">
        <x:v>zenodo</x:v>
      </x:c>
      <x:c r="B23" s="11" t="str">
        <x:v>10.5281/zenodo.19742587</x:v>
      </x:c>
      <x:c r="C23" s="11" t="str">
        <x:v>PCVDMFullDynamicsRegressor</x:v>
      </x:c>
      <x:c r="D23" s="11" t="str">
        <x:v>2026-04-24</x:v>
      </x:c>
      <x:c r="E23" s="11" t="str">
        <x:v>39</x:v>
      </x:c>
      <x:c r="F23" s="11" t="str">
        <x:v>34</x:v>
      </x:c>
      <x:c r="G23" s="11" t="str">
        <x:v>150</x:v>
      </x:c>
      <x:c r="H23" s="11" t="str">
        <x:v>141</x:v>
      </x:c>
      <x:c r="I23" s="11" t="str">
        <x:v>0.94</x:v>
      </x:c>
      <x:c r="J23" s="11" t="str"/>
      <x:c r="K23" s="11" t="str"/>
      <x:c r="L23" s="11" t="str">
        <x:v>https://zenodo.org/records/19742587</x:v>
      </x:c>
    </x:row>
    <x:row r="24">
      <x:c r="A24" s="11" t="str">
        <x:v>zenodo</x:v>
      </x:c>
      <x:c r="B24" s="11" t="str">
        <x:v>10.5281/zenodo.19741769</x:v>
      </x:c>
      <x:c r="C24" s="11" t="str">
        <x:v>Monodromy as Memory: Quotient Commutation Is Not Quotient Injectivity</x:v>
      </x:c>
      <x:c r="D24" s="11" t="str">
        <x:v>2026-04-24</x:v>
      </x:c>
      <x:c r="E24" s="11" t="str">
        <x:v>38</x:v>
      </x:c>
      <x:c r="F24" s="11" t="str">
        <x:v>36</x:v>
      </x:c>
      <x:c r="G24" s="11" t="str">
        <x:v>29</x:v>
      </x:c>
      <x:c r="H24" s="11" t="str">
        <x:v>27</x:v>
      </x:c>
      <x:c r="I24" s="11" t="str">
        <x:v>0.931</x:v>
      </x:c>
      <x:c r="J24" s="11" t="str"/>
      <x:c r="K24" s="11" t="str"/>
      <x:c r="L24" s="11" t="str">
        <x:v>https://zenodo.org/records/19741769</x:v>
      </x:c>
    </x:row>
    <x:row r="25">
      <x:c r="A25" s="11" t="str">
        <x:v>zenodo</x:v>
      </x:c>
      <x:c r="B25" s="11" t="str">
        <x:v>10.5281/zenodo.19741678</x:v>
      </x:c>
      <x:c r="C25" s="11" t="str">
        <x:v>Phase Calculus as Universal Exact Grammar for Branching Structures</x:v>
      </x:c>
      <x:c r="D25" s="11" t="str">
        <x:v>2026-04-24</x:v>
      </x:c>
      <x:c r="E25" s="11" t="str">
        <x:v>36</x:v>
      </x:c>
      <x:c r="F25" s="11" t="str">
        <x:v>34</x:v>
      </x:c>
      <x:c r="G25" s="11" t="str">
        <x:v>24</x:v>
      </x:c>
      <x:c r="H25" s="11" t="str">
        <x:v>21</x:v>
      </x:c>
      <x:c r="I25" s="11" t="str">
        <x:v>0.875</x:v>
      </x:c>
      <x:c r="J25" s="11" t="str"/>
      <x:c r="K25" s="11" t="str"/>
      <x:c r="L25" s="11" t="str">
        <x:v>https://zenodo.org/records/19741678</x:v>
      </x:c>
    </x:row>
    <x:row r="26">
      <x:c r="A26" s="11" t="str">
        <x:v>zenodo</x:v>
      </x:c>
      <x:c r="B26" s="11" t="str">
        <x:v>10.5281/zenodo.19725430</x:v>
      </x:c>
      <x:c r="C26" s="11" t="str">
        <x:v>Unified Quintic: Lifted Quintic Transport, Red-Filter Quotient Descent, and Immediate Root Certification</x:v>
      </x:c>
      <x:c r="D26" s="11" t="str">
        <x:v>2026-04-24</x:v>
      </x:c>
      <x:c r="E26" s="11" t="str">
        <x:v>45</x:v>
      </x:c>
      <x:c r="F26" s="11" t="str">
        <x:v>44</x:v>
      </x:c>
      <x:c r="G26" s="11" t="str">
        <x:v>86</x:v>
      </x:c>
      <x:c r="H26" s="11" t="str">
        <x:v>84</x:v>
      </x:c>
      <x:c r="I26" s="11" t="str">
        <x:v>0.977</x:v>
      </x:c>
      <x:c r="J26" s="11" t="str"/>
      <x:c r="K26" s="11" t="str"/>
      <x:c r="L26" s="11" t="str">
        <x:v>https://zenodo.org/records/19725430</x:v>
      </x:c>
    </x:row>
    <x:row r="27">
      <x:c r="A27" s="11" t="str">
        <x:v>zenodo</x:v>
      </x:c>
      <x:c r="B27" s="11" t="str">
        <x:v>10.5281/zenodo.19724444</x:v>
      </x:c>
      <x:c r="C27" s="11" t="str">
        <x:v>Quotient Descent and the EML Operator: Why Continuous Composites Are Not Primitives</x:v>
      </x:c>
      <x:c r="D27" s="11" t="str">
        <x:v>2026-04-21</x:v>
      </x:c>
      <x:c r="E27" s="11" t="str">
        <x:v>144</x:v>
      </x:c>
      <x:c r="F27" s="11" t="str">
        <x:v>124</x:v>
      </x:c>
      <x:c r="G27" s="11" t="str">
        <x:v>181</x:v>
      </x:c>
      <x:c r="H27" s="11" t="str">
        <x:v>156</x:v>
      </x:c>
      <x:c r="I27" s="11" t="str">
        <x:v>0.862</x:v>
      </x:c>
      <x:c r="J27" s="11" t="str"/>
      <x:c r="K27" s="11" t="str"/>
      <x:c r="L27" s="11" t="str">
        <x:v>https://zenodo.org/records/19724444</x:v>
      </x:c>
    </x:row>
    <x:row r="28">
      <x:c r="A28" s="11" t="str">
        <x:v>zenodo</x:v>
      </x:c>
      <x:c r="B28" s="11" t="str">
        <x:v>10.5281/zenodo.19698932</x:v>
      </x:c>
      <x:c r="C28" s="11" t="str">
        <x:v>Quotient Descent and the EML Operator: Why Continuous Composites Are Not Primitives</x:v>
      </x:c>
      <x:c r="D28" s="11" t="str">
        <x:v>2026-04-21</x:v>
      </x:c>
      <x:c r="E28" s="11" t="str">
        <x:v>42</x:v>
      </x:c>
      <x:c r="F28" s="11" t="str">
        <x:v>40</x:v>
      </x:c>
      <x:c r="G28" s="11" t="str">
        <x:v>85</x:v>
      </x:c>
      <x:c r="H28" s="11" t="str">
        <x:v>74</x:v>
      </x:c>
      <x:c r="I28" s="11" t="str">
        <x:v>0.871</x:v>
      </x:c>
      <x:c r="J28" s="11" t="str"/>
      <x:c r="K28" s="11" t="str"/>
      <x:c r="L28" s="11" t="str">
        <x:v>https://zenodo.org/records/19698932</x:v>
      </x:c>
    </x:row>
    <x:row r="29">
      <x:c r="A29" s="11" t="str">
        <x:v>zenodo</x:v>
      </x:c>
      <x:c r="B29" s="11" t="str">
        <x:v>10.5281/zenodo.19688963</x:v>
      </x:c>
      <x:c r="C29" s="11" t="str">
        <x:v>Quotient Descent and the EML Operator: Why Continuous Composites Are Not Primitives</x:v>
      </x:c>
      <x:c r="D29" s="11" t="str">
        <x:v>2026-04-21</x:v>
      </x:c>
      <x:c r="E29" s="11" t="str">
        <x:v>41</x:v>
      </x:c>
      <x:c r="F29" s="11" t="str">
        <x:v>40</x:v>
      </x:c>
      <x:c r="G29" s="11" t="str">
        <x:v>36</x:v>
      </x:c>
      <x:c r="H29" s="11" t="str">
        <x:v>36</x:v>
      </x:c>
      <x:c r="I29" s="11" t="str">
        <x:v>1</x:v>
      </x:c>
      <x:c r="J29" s="11" t="str"/>
      <x:c r="K29" s="11" t="str"/>
      <x:c r="L29" s="11" t="str">
        <x:v>https://zenodo.org/records/19688963</x:v>
      </x:c>
    </x:row>
    <x:row r="30">
      <x:c r="A30" s="11" t="str">
        <x:v>zenodo</x:v>
      </x:c>
      <x:c r="B30" s="11" t="str">
        <x:v>10.5281/zenodo.19688140</x:v>
      </x:c>
      <x:c r="C30" s="11" t="str">
        <x:v>Quotient Descent and the EML Operator: Why Continuous Composites Are Not Primitives</x:v>
      </x:c>
      <x:c r="D30" s="11" t="str">
        <x:v>2026-04-21</x:v>
      </x:c>
      <x:c r="E30" s="11" t="str">
        <x:v>22</x:v>
      </x:c>
      <x:c r="F30" s="11" t="str">
        <x:v>20</x:v>
      </x:c>
      <x:c r="G30" s="11" t="str">
        <x:v>35</x:v>
      </x:c>
      <x:c r="H30" s="11" t="str">
        <x:v>33</x:v>
      </x:c>
      <x:c r="I30" s="11" t="str">
        <x:v>0.943</x:v>
      </x:c>
      <x:c r="J30" s="11" t="str"/>
      <x:c r="K30" s="11" t="str"/>
      <x:c r="L30" s="11" t="str">
        <x:v>https://zenodo.org/records/19688140</x:v>
      </x:c>
    </x:row>
    <x:row r="31">
      <x:c r="A31" s="11" t="str">
        <x:v>zenodo</x:v>
      </x:c>
      <x:c r="B31" s="11" t="str">
        <x:v>10.5281/zenodo.19687962</x:v>
      </x:c>
      <x:c r="C31" s="11" t="str">
        <x:v>Quotient Descent and the EML Operator: Why Continuous Composites Are Not Primitives</x:v>
      </x:c>
      <x:c r="D31" s="11" t="str">
        <x:v>2026-04-22</x:v>
      </x:c>
      <x:c r="E31" s="11" t="str">
        <x:v>34</x:v>
      </x:c>
      <x:c r="F31" s="11" t="str">
        <x:v>31</x:v>
      </x:c>
      <x:c r="G31" s="11" t="str">
        <x:v>19</x:v>
      </x:c>
      <x:c r="H31" s="11" t="str">
        <x:v>15</x:v>
      </x:c>
      <x:c r="I31" s="11" t="str">
        <x:v>0.789</x:v>
      </x:c>
      <x:c r="J31" s="11" t="str"/>
      <x:c r="K31" s="11" t="str"/>
      <x:c r="L31" s="11" t="str">
        <x:v>https://zenodo.org/records/19687962</x:v>
      </x:c>
    </x:row>
    <x:row r="32">
      <x:c r="A32" s="11" t="str">
        <x:v>zenodo</x:v>
      </x:c>
      <x:c r="B32" s="11" t="str">
        <x:v>10.5281/zenodo.19651366</x:v>
      </x:c>
      <x:c r="C32" s="11" t="str">
        <x:v>Operational Utility and Multiscale Invariance of Phase Calculus: A Discrete Foundational Grammar for Dynamics</x:v>
      </x:c>
      <x:c r="D32" s="11" t="str">
        <x:v>2026-04-18</x:v>
      </x:c>
      <x:c r="E32" s="11" t="str">
        <x:v>58</x:v>
      </x:c>
      <x:c r="F32" s="11" t="str">
        <x:v>57</x:v>
      </x:c>
      <x:c r="G32" s="11" t="str">
        <x:v>336</x:v>
      </x:c>
      <x:c r="H32" s="11" t="str">
        <x:v>333</x:v>
      </x:c>
      <x:c r="I32" s="11" t="str">
        <x:v>0.991</x:v>
      </x:c>
      <x:c r="J32" s="11" t="str"/>
      <x:c r="K32" s="11" t="str"/>
      <x:c r="L32" s="11" t="str">
        <x:v>https://zenodo.org/records/19651366</x:v>
      </x:c>
    </x:row>
    <x:row r="33">
      <x:c r="A33" s="11" t="str">
        <x:v>zenodo</x:v>
      </x:c>
      <x:c r="B33" s="11" t="str">
        <x:v>10.5281/zenodo.19650753</x:v>
      </x:c>
      <x:c r="C33" s="11" t="str">
        <x:v>DRAFT Operational Utility and Multiscale Invariance of Phase Calculus: A Discrete Foundational Grammar for Dynamics</x:v>
      </x:c>
      <x:c r="D33" s="11" t="str">
        <x:v>2026-04-19</x:v>
      </x:c>
      <x:c r="E33" s="11" t="str">
        <x:v>27</x:v>
      </x:c>
      <x:c r="F33" s="11" t="str">
        <x:v>27</x:v>
      </x:c>
      <x:c r="G33" s="11" t="str">
        <x:v>105</x:v>
      </x:c>
      <x:c r="H33" s="11" t="str">
        <x:v>105</x:v>
      </x:c>
      <x:c r="I33" s="11" t="str">
        <x:v>1</x:v>
      </x:c>
      <x:c r="J33" s="11" t="str"/>
      <x:c r="K33" s="11" t="str"/>
      <x:c r="L33" s="11" t="str">
        <x:v>https://zenodo.org/records/19650753</x:v>
      </x:c>
    </x:row>
    <x:row r="34">
      <x:c r="A34" s="11" t="str">
        <x:v>zenodo</x:v>
      </x:c>
      <x:c r="B34" s="11" t="str">
        <x:v>10.5281/zenodo.19650307</x:v>
      </x:c>
      <x:c r="C34" s="11" t="str">
        <x:v>DRAFT CF000-E1: Forced Oscillation, Curiosity, and Productive Tension</x:v>
      </x:c>
      <x:c r="D34" s="11" t="str">
        <x:v>2026-04-19</x:v>
      </x:c>
      <x:c r="E34" s="11" t="str">
        <x:v>38</x:v>
      </x:c>
      <x:c r="F34" s="11" t="str">
        <x:v>36</x:v>
      </x:c>
      <x:c r="G34" s="11" t="str">
        <x:v>66</x:v>
      </x:c>
      <x:c r="H34" s="11" t="str">
        <x:v>64</x:v>
      </x:c>
      <x:c r="I34" s="11" t="str">
        <x:v>0.97</x:v>
      </x:c>
      <x:c r="J34" s="11" t="str"/>
      <x:c r="K34" s="11" t="str"/>
      <x:c r="L34" s="11" t="str">
        <x:v>https://zenodo.org/records/19650307</x:v>
      </x:c>
    </x:row>
    <x:row r="35">
      <x:c r="A35" s="11" t="str">
        <x:v>zenodo</x:v>
      </x:c>
      <x:c r="B35" s="11" t="str">
        <x:v>10.5281/zenodo.19649999</x:v>
      </x:c>
      <x:c r="C35" s="11" t="str">
        <x:v>justinlietz93/Advanced-AI-Math: v0.01_Zenodo_Provenance</x:v>
      </x:c>
      <x:c r="D35" s="11" t="str">
        <x:v>2026-04-19</x:v>
      </x:c>
      <x:c r="E35" s="11" t="str">
        <x:v>16</x:v>
      </x:c>
      <x:c r="F35" s="11" t="str">
        <x:v>14</x:v>
      </x:c>
      <x:c r="G35" s="11" t="str">
        <x:v>3</x:v>
      </x:c>
      <x:c r="H35" s="11" t="str">
        <x:v>3</x:v>
      </x:c>
      <x:c r="I35" s="11" t="str">
        <x:v>1</x:v>
      </x:c>
      <x:c r="J35" s="11" t="str"/>
      <x:c r="K35" s="11" t="str"/>
      <x:c r="L35" s="11" t="str">
        <x:v>https://zenodo.org/records/19649999</x:v>
      </x:c>
    </x:row>
    <x:row r="36">
      <x:c r="A36" s="11" t="str">
        <x:v>zenodo</x:v>
      </x:c>
      <x:c r="B36" s="11" t="str">
        <x:v>10.5281/zenodo.19644143</x:v>
      </x:c>
      <x:c r="C36" s="11" t="str">
        <x:v>CF000: Primitive Distinguishability and Orthogonal Articulation</x:v>
      </x:c>
      <x:c r="D36" s="11" t="str">
        <x:v>2026-03-18</x:v>
      </x:c>
      <x:c r="E36" s="11" t="str">
        <x:v>46</x:v>
      </x:c>
      <x:c r="F36" s="11" t="str">
        <x:v>46</x:v>
      </x:c>
      <x:c r="G36" s="11" t="str">
        <x:v>119</x:v>
      </x:c>
      <x:c r="H36" s="11" t="str">
        <x:v>115</x:v>
      </x:c>
      <x:c r="I36" s="11" t="str">
        <x:v>0.966</x:v>
      </x:c>
      <x:c r="J36" s="11" t="str"/>
      <x:c r="K36" s="11" t="str"/>
      <x:c r="L36" s="11" t="str">
        <x:v>https://zenodo.org/records/19644143</x:v>
      </x:c>
    </x:row>
    <x:row r="37">
      <x:c r="A37" s="11" t="str">
        <x:v>zenodo</x:v>
      </x:c>
      <x:c r="B37" s="11" t="str">
        <x:v>10.5281/zenodo.19613111</x:v>
      </x:c>
      <x:c r="C37" s="11" t="str">
        <x:v>Counterfactual Echo Gain (CEG): Future-Aware Metriplectic Assistance Yields Gate-Certified Echo Improvement</x:v>
      </x:c>
      <x:c r="D37" s="11" t="str">
        <x:v>2025-09-10</x:v>
      </x:c>
      <x:c r="E37" s="11" t="str">
        <x:v>67</x:v>
      </x:c>
      <x:c r="F37" s="11" t="str">
        <x:v>65</x:v>
      </x:c>
      <x:c r="G37" s="11" t="str">
        <x:v>337</x:v>
      </x:c>
      <x:c r="H37" s="11" t="str">
        <x:v>336</x:v>
      </x:c>
      <x:c r="I37" s="11" t="str">
        <x:v>0.997</x:v>
      </x:c>
      <x:c r="J37" s="11" t="str"/>
      <x:c r="K37" s="11" t="str"/>
      <x:c r="L37" s="11" t="str">
        <x:v>https://zenodo.org/records/19613111</x:v>
      </x:c>
    </x:row>
    <x:row r="38">
      <x:c r="A38" s="11" t="str">
        <x:v>zenodo</x:v>
      </x:c>
      <x:c r="B38" s="11" t="str">
        <x:v>10.5281/zenodo.19601368</x:v>
      </x:c>
      <x:c r="C38" s="11" t="str">
        <x:v>Neuroca-Inc/Cogito-Research: Zenodo Release v0.2</x:v>
      </x:c>
      <x:c r="D38" s="11" t="str">
        <x:v>2026-04-16</x:v>
      </x:c>
      <x:c r="E38" s="11" t="str">
        <x:v>11</x:v>
      </x:c>
      <x:c r="F38" s="11" t="str">
        <x:v>10</x:v>
      </x:c>
      <x:c r="G38" s="11" t="str">
        <x:v>2</x:v>
      </x:c>
      <x:c r="H38" s="11" t="str">
        <x:v>2</x:v>
      </x:c>
      <x:c r="I38" s="11" t="str">
        <x:v>1</x:v>
      </x:c>
      <x:c r="J38" s="11" t="str"/>
      <x:c r="K38" s="11" t="str"/>
      <x:c r="L38" s="11" t="str">
        <x:v>https://zenodo.org/records/19601368</x:v>
      </x:c>
    </x:row>
    <x:row r="39">
      <x:c r="A39" s="11" t="str">
        <x:v>zenodo</x:v>
      </x:c>
      <x:c r="B39" s="11" t="str">
        <x:v>10.5281/zenodo.19576940</x:v>
      </x:c>
      <x:c r="C39" s="11" t="str">
        <x:v>Phase Transitions and Metastable Regimes in Real-Time Cognitive Connectomes</x:v>
      </x:c>
      <x:c r="D39" s="11" t="str">
        <x:v>2026-02-21</x:v>
      </x:c>
      <x:c r="E39" s="11" t="str">
        <x:v>62</x:v>
      </x:c>
      <x:c r="F39" s="11" t="str">
        <x:v>57</x:v>
      </x:c>
      <x:c r="G39" s="11" t="str">
        <x:v>96</x:v>
      </x:c>
      <x:c r="H39" s="11" t="str">
        <x:v>90</x:v>
      </x:c>
      <x:c r="I39" s="11" t="str">
        <x:v>0.938</x:v>
      </x:c>
      <x:c r="J39" s="11" t="str"/>
      <x:c r="K39" s="11" t="str"/>
      <x:c r="L39" s="11" t="str">
        <x:v>https://zenodo.org/records/19576940</x:v>
      </x:c>
    </x:row>
    <x:row r="40">
      <x:c r="A40" s="11" t="str">
        <x:v>zenodo</x:v>
      </x:c>
      <x:c r="B40" s="11" t="str">
        <x:v>10.5281/zenodo.19570959</x:v>
      </x:c>
      <x:c r="C40" s="11" t="str">
        <x:v>Four Independent Complex-Adaptive Signatures From A Structurally-Plastic Connectome Run</x:v>
      </x:c>
      <x:c r="D40" s="11" t="str">
        <x:v>2026-02-20</x:v>
      </x:c>
      <x:c r="E40" s="11" t="str">
        <x:v>106</x:v>
      </x:c>
      <x:c r="F40" s="11" t="str">
        <x:v>91</x:v>
      </x:c>
      <x:c r="G40" s="11" t="str">
        <x:v>136</x:v>
      </x:c>
      <x:c r="H40" s="11" t="str">
        <x:v>121</x:v>
      </x:c>
      <x:c r="I40" s="11" t="str">
        <x:v>0.89</x:v>
      </x:c>
      <x:c r="J40" s="11" t="str"/>
      <x:c r="K40" s="11" t="str"/>
      <x:c r="L40" s="11" t="str">
        <x:v>https://zenodo.org/records/19570959</x:v>
      </x:c>
    </x:row>
    <x:row r="41">
      <x:c r="A41" s="11" t="str">
        <x:v>zenodo</x:v>
      </x:c>
      <x:c r="B41" s="11" t="str">
        <x:v>10.5281/zenodo.19570286</x:v>
      </x:c>
      <x:c r="C41" s="11" t="str">
        <x:v>Causal Density Dynamics and Markov Entropy in Artificial Cognition</x:v>
      </x:c>
      <x:c r="D41" s="11" t="str">
        <x:v>2026-02-21</x:v>
      </x:c>
      <x:c r="E41" s="11" t="str">
        <x:v>62</x:v>
      </x:c>
      <x:c r="F41" s="11" t="str">
        <x:v>58</x:v>
      </x:c>
      <x:c r="G41" s="11" t="str">
        <x:v>102</x:v>
      </x:c>
      <x:c r="H41" s="11" t="str">
        <x:v>97</x:v>
      </x:c>
      <x:c r="I41" s="11" t="str">
        <x:v>0.951</x:v>
      </x:c>
      <x:c r="J41" s="11" t="str"/>
      <x:c r="K41" s="11" t="str"/>
      <x:c r="L41" s="11" t="str">
        <x:v>https://zenodo.org/records/19570286</x:v>
      </x:c>
    </x:row>
    <x:row r="42">
      <x:c r="A42" s="11" t="str">
        <x:v>zenodo</x:v>
      </x:c>
      <x:c r="B42" s="11" t="str">
        <x:v>10.5281/zenodo.19569960</x:v>
      </x:c>
      <x:c r="C42" s="11" t="str">
        <x:v>Integration–Segregation Balance in Zero-Training Cognitive Regimes: Total Correlation, O-information, and MIP Structure</x:v>
      </x:c>
      <x:c r="D42" s="11" t="str">
        <x:v>2026-02-21</x:v>
      </x:c>
      <x:c r="E42" s="11" t="str">
        <x:v>57</x:v>
      </x:c>
      <x:c r="F42" s="11" t="str">
        <x:v>54</x:v>
      </x:c>
      <x:c r="G42" s="11" t="str">
        <x:v>219</x:v>
      </x:c>
      <x:c r="H42" s="11" t="str">
        <x:v>214</x:v>
      </x:c>
      <x:c r="I42" s="11" t="str">
        <x:v>0.977</x:v>
      </x:c>
      <x:c r="J42" s="11" t="str"/>
      <x:c r="K42" s="11" t="str"/>
      <x:c r="L42" s="11" t="str">
        <x:v>https://zenodo.org/records/19569960</x:v>
      </x:c>
    </x:row>
    <x:row r="43">
      <x:c r="A43" s="11" t="str">
        <x:v>zenodo</x:v>
      </x:c>
      <x:c r="B43" s="11" t="str">
        <x:v>10.5281/zenodo.19568270</x:v>
      </x:c>
      <x:c r="C43" s="11" t="str">
        <x:v>Emergent Criticality and Avalanche Scaling in Non-Trained Cognitive Firing Patterns</x:v>
      </x:c>
      <x:c r="D43" s="11" t="str">
        <x:v>2026-02-21</x:v>
      </x:c>
      <x:c r="E43" s="11" t="str">
        <x:v>75</x:v>
      </x:c>
      <x:c r="F43" s="11" t="str">
        <x:v>68</x:v>
      </x:c>
      <x:c r="G43" s="11" t="str">
        <x:v>230</x:v>
      </x:c>
      <x:c r="H43" s="11" t="str">
        <x:v>221</x:v>
      </x:c>
      <x:c r="I43" s="11" t="str">
        <x:v>0.961</x:v>
      </x:c>
      <x:c r="J43" s="11" t="str"/>
      <x:c r="K43" s="11" t="str"/>
      <x:c r="L43" s="11" t="str">
        <x:v>https://zenodo.org/records/19568270</x:v>
      </x:c>
    </x:row>
    <x:row r="44">
      <x:c r="A44" s="11" t="str">
        <x:v>zenodo</x:v>
      </x:c>
      <x:c r="B44" s="11" t="str">
        <x:v>10.5281/zenodo.19567985</x:v>
      </x:c>
      <x:c r="C44" s="11" t="str">
        <x:v>Complexity Metric Dashboards for Artificial Consciousness: A Multi-Measure Instrument for Real-Time Cognitive Runtimes</x:v>
      </x:c>
      <x:c r="D44" s="11" t="str">
        <x:v>2026-02-21</x:v>
      </x:c>
      <x:c r="E44" s="11" t="str">
        <x:v>67</x:v>
      </x:c>
      <x:c r="F44" s="11" t="str">
        <x:v>60</x:v>
      </x:c>
      <x:c r="G44" s="11" t="str">
        <x:v>110</x:v>
      </x:c>
      <x:c r="H44" s="11" t="str">
        <x:v>101</x:v>
      </x:c>
      <x:c r="I44" s="11" t="str">
        <x:v>0.918</x:v>
      </x:c>
      <x:c r="J44" s="11" t="str"/>
      <x:c r="K44" s="11" t="str"/>
      <x:c r="L44" s="11" t="str">
        <x:v>https://zenodo.org/records/19567985</x:v>
      </x:c>
    </x:row>
    <x:row r="45">
      <x:c r="A45" s="11" t="str">
        <x:v>zenodo</x:v>
      </x:c>
      <x:c r="B45" s="11" t="str">
        <x:v>10.5281/zenodo.19567850</x:v>
      </x:c>
      <x:c r="C45" s="11" t="str">
        <x:v>Dynamic Phase-Space Signatures and Principal-Component Shifts Across Cognitive Regimes in a Zero-Training Runtime</x:v>
      </x:c>
      <x:c r="D45" s="11" t="str">
        <x:v>2026-02-21</x:v>
      </x:c>
      <x:c r="E45" s="11" t="str">
        <x:v>65</x:v>
      </x:c>
      <x:c r="F45" s="11" t="str">
        <x:v>58</x:v>
      </x:c>
      <x:c r="G45" s="11" t="str">
        <x:v>214</x:v>
      </x:c>
      <x:c r="H45" s="11" t="str">
        <x:v>209</x:v>
      </x:c>
      <x:c r="I45" s="11" t="str">
        <x:v>0.977</x:v>
      </x:c>
      <x:c r="J45" s="11" t="str"/>
      <x:c r="K45" s="11" t="str"/>
      <x:c r="L45" s="11" t="str">
        <x:v>https://zenodo.org/records/19567850</x:v>
      </x:c>
    </x:row>
    <x:row r="46">
      <x:c r="A46" s="11" t="str">
        <x:v>zenodo</x:v>
      </x:c>
      <x:c r="B46" s="11" t="str">
        <x:v>10.5281/zenodo.19564798</x:v>
      </x:c>
      <x:c r="C46" s="11" t="str">
        <x:v>Predictive Feature Architectures For Self-Supervised Say-Events in VDM</x:v>
      </x:c>
      <x:c r="D46" s="11" t="str">
        <x:v>2026-02-19</x:v>
      </x:c>
      <x:c r="E46" s="11" t="str">
        <x:v>65</x:v>
      </x:c>
      <x:c r="F46" s="11" t="str">
        <x:v>60</x:v>
      </x:c>
      <x:c r="G46" s="11" t="str">
        <x:v>133</x:v>
      </x:c>
      <x:c r="H46" s="11" t="str">
        <x:v>128</x:v>
      </x:c>
      <x:c r="I46" s="11" t="str">
        <x:v>0.962</x:v>
      </x:c>
      <x:c r="J46" s="11" t="str"/>
      <x:c r="K46" s="11" t="str"/>
      <x:c r="L46" s="11" t="str">
        <x:v>https://zenodo.org/records/19564798</x:v>
      </x:c>
    </x:row>
    <x:row r="47">
      <x:c r="A47" s="11" t="str">
        <x:v>zenodo</x:v>
      </x:c>
      <x:c r="B47" s="11" t="str">
        <x:v>10.5281/zenodo.19561401</x:v>
      </x:c>
      <x:c r="C47" s="11" t="str">
        <x:v>Void Dynamics Model (VDM) — Canon, Instruments, and Nexus Architecture</x:v>
      </x:c>
      <x:c r="D47" s="11" t="str">
        <x:v>2026-04-14</x:v>
      </x:c>
      <x:c r="E47" s="11" t="str">
        <x:v>26</x:v>
      </x:c>
      <x:c r="F47" s="11" t="str">
        <x:v>25</x:v>
      </x:c>
      <x:c r="G47" s="11" t="str">
        <x:v>0</x:v>
      </x:c>
      <x:c r="H47" s="11" t="str">
        <x:v>0</x:v>
      </x:c>
      <x:c r="I47" s="11" t="str"/>
      <x:c r="J47" s="11" t="str"/>
      <x:c r="K47" s="11" t="str"/>
      <x:c r="L47" s="11" t="str">
        <x:v>https://zenodo.org/records/19561401</x:v>
      </x:c>
    </x:row>
    <x:row r="48">
      <x:c r="A48" s="11" t="str">
        <x:v>zenodo</x:v>
      </x:c>
      <x:c r="B48" s="11" t="str">
        <x:v>10.5281/zenodo.19550387</x:v>
      </x:c>
      <x:c r="C48" s="11" t="str">
        <x:v>DRAFT Advanced Non-Scalar Paradigms for Evaluating Large Language Model Efficacy</x:v>
      </x:c>
      <x:c r="D48" s="11" t="str">
        <x:v>2026-04-13</x:v>
      </x:c>
      <x:c r="E48" s="11" t="str">
        <x:v>68</x:v>
      </x:c>
      <x:c r="F48" s="11" t="str">
        <x:v>46</x:v>
      </x:c>
      <x:c r="G48" s="11" t="str">
        <x:v>4</x:v>
      </x:c>
      <x:c r="H48" s="11" t="str">
        <x:v>4</x:v>
      </x:c>
      <x:c r="I48" s="11" t="str">
        <x:v>1</x:v>
      </x:c>
      <x:c r="J48" s="11" t="str"/>
      <x:c r="K48" s="11" t="str"/>
      <x:c r="L48" s="11" t="str">
        <x:v>https://zenodo.org/records/19550387</x:v>
      </x:c>
    </x:row>
    <x:row r="49">
      <x:c r="A49" s="11" t="str">
        <x:v>zenodo</x:v>
      </x:c>
      <x:c r="B49" s="11" t="str">
        <x:v>10.5281/zenodo.19550101</x:v>
      </x:c>
      <x:c r="C49" s="11" t="str">
        <x:v>justinlietz93/primitive_bifurcation_law_VDM: Zenodo Release</x:v>
      </x:c>
      <x:c r="D49" s="11" t="str">
        <x:v>2026-04-13</x:v>
      </x:c>
      <x:c r="E49" s="11" t="str">
        <x:v>19</x:v>
      </x:c>
      <x:c r="F49" s="11" t="str">
        <x:v>18</x:v>
      </x:c>
      <x:c r="G49" s="11" t="str">
        <x:v>3</x:v>
      </x:c>
      <x:c r="H49" s="11" t="str">
        <x:v>3</x:v>
      </x:c>
      <x:c r="I49" s="11" t="str">
        <x:v>1</x:v>
      </x:c>
      <x:c r="J49" s="11" t="str"/>
      <x:c r="K49" s="11" t="str"/>
      <x:c r="L49" s="11" t="str">
        <x:v>https://zenodo.org/records/19550101</x:v>
      </x:c>
    </x:row>
    <x:row r="50">
      <x:c r="A50" s="11" t="str">
        <x:v>zenodo</x:v>
      </x:c>
      <x:c r="B50" s="11" t="str">
        <x:v>10.5281/zenodo.19550007</x:v>
      </x:c>
      <x:c r="C50" s="11" t="str">
        <x:v>Void Dynamics Model (VDM) — Canon, Instruments, and Nexus Architecture</x:v>
      </x:c>
      <x:c r="D50" s="11" t="str">
        <x:v>2026-04-13</x:v>
      </x:c>
      <x:c r="E50" s="11" t="str">
        <x:v>17</x:v>
      </x:c>
      <x:c r="F50" s="11" t="str">
        <x:v>14</x:v>
      </x:c>
      <x:c r="G50" s="11" t="str">
        <x:v>0</x:v>
      </x:c>
      <x:c r="H50" s="11" t="str">
        <x:v>0</x:v>
      </x:c>
      <x:c r="I50" s="11" t="str"/>
      <x:c r="J50" s="11" t="str"/>
      <x:c r="K50" s="11" t="str"/>
      <x:c r="L50" s="11" t="str">
        <x:v>https://zenodo.org/records/19550007</x:v>
      </x:c>
    </x:row>
    <x:row r="51">
      <x:c r="A51" s="11" t="str">
        <x:v>zenodo</x:v>
      </x:c>
      <x:c r="B51" s="11" t="str">
        <x:v>10.5281/zenodo.19521030</x:v>
      </x:c>
      <x:c r="C51" s="11" t="str">
        <x:v>DRAFT Operational Utility and Multiscale Invariance of Phase Calculus: A Discrete Foundational Grammar for Dynamics</x:v>
      </x:c>
      <x:c r="D51" s="11" t="str">
        <x:v>2026-04-12</x:v>
      </x:c>
      <x:c r="E51" s="11" t="str">
        <x:v>78</x:v>
      </x:c>
      <x:c r="F51" s="11" t="str">
        <x:v>73</x:v>
      </x:c>
      <x:c r="G51" s="11" t="str">
        <x:v>56</x:v>
      </x:c>
      <x:c r="H51" s="11" t="str">
        <x:v>51</x:v>
      </x:c>
      <x:c r="I51" s="11" t="str">
        <x:v>0.911</x:v>
      </x:c>
      <x:c r="J51" s="11" t="str"/>
      <x:c r="K51" s="11" t="str"/>
      <x:c r="L51" s="11" t="str">
        <x:v>https://zenodo.org/records/19521030</x:v>
      </x:c>
    </x:row>
    <x:row r="52">
      <x:c r="A52" s="11" t="str">
        <x:v>zenodo</x:v>
      </x:c>
      <x:c r="B52" s="11" t="str">
        <x:v>10.5281/zenodo.19491529</x:v>
      </x:c>
      <x:c r="C52" s="11" t="str">
        <x:v>Phase Calculus - Lifted-State Operator Calculus of the Primitive Roll with Connection Closure and Shadow/Completion Branch</x:v>
      </x:c>
      <x:c r="D52" s="11" t="str">
        <x:v>2026-04-10</x:v>
      </x:c>
      <x:c r="E52" s="11" t="str">
        <x:v>91</x:v>
      </x:c>
      <x:c r="F52" s="11" t="str">
        <x:v>79</x:v>
      </x:c>
      <x:c r="G52" s="11" t="str">
        <x:v>148</x:v>
      </x:c>
      <x:c r="H52" s="11" t="str">
        <x:v>135</x:v>
      </x:c>
      <x:c r="I52" s="11" t="str">
        <x:v>0.912</x:v>
      </x:c>
      <x:c r="J52" s="11" t="str"/>
      <x:c r="K52" s="11" t="str"/>
      <x:c r="L52" s="11" t="str">
        <x:v>https://zenodo.org/records/19491529</x:v>
      </x:c>
    </x:row>
    <x:row r="53">
      <x:c r="A53" s="11" t="str">
        <x:v>zenodo</x:v>
      </x:c>
      <x:c r="B53" s="11" t="str">
        <x:v>10.5281/zenodo.19449044</x:v>
      </x:c>
      <x:c r="C53" s="11" t="str">
        <x:v>Phase Calculus - Lifted-State Operator Calculus of the Primitive Roll with Connection Closure and Shadow/Completion Branch</x:v>
      </x:c>
      <x:c r="D53" s="11" t="str">
        <x:v>2026-04-07</x:v>
      </x:c>
      <x:c r="E53" s="11" t="str">
        <x:v>16</x:v>
      </x:c>
      <x:c r="F53" s="11" t="str">
        <x:v>16</x:v>
      </x:c>
      <x:c r="G53" s="11" t="str">
        <x:v>28</x:v>
      </x:c>
      <x:c r="H53" s="11" t="str">
        <x:v>28</x:v>
      </x:c>
      <x:c r="I53" s="11" t="str">
        <x:v>1</x:v>
      </x:c>
      <x:c r="J53" s="11" t="str"/>
      <x:c r="K53" s="11" t="str"/>
      <x:c r="L53" s="11" t="str">
        <x:v>https://zenodo.org/records/19449044</x:v>
      </x:c>
    </x:row>
    <x:row r="54">
      <x:c r="A54" s="11" t="str">
        <x:v>zenodo</x:v>
      </x:c>
      <x:c r="B54" s="11" t="str">
        <x:v>10.5281/zenodo.19447474</x:v>
      </x:c>
      <x:c r="C54" s="11" t="str">
        <x:v>Phase Calculus - Lifted-State Operator Calculus of the Primitive Roll with Connection Closure and Shadow/Completion Branch</x:v>
      </x:c>
      <x:c r="D54" s="11" t="str">
        <x:v>2026-04-06</x:v>
      </x:c>
      <x:c r="E54" s="11" t="str">
        <x:v>16</x:v>
      </x:c>
      <x:c r="F54" s="11" t="str">
        <x:v>16</x:v>
      </x:c>
      <x:c r="G54" s="11" t="str">
        <x:v>14</x:v>
      </x:c>
      <x:c r="H54" s="11" t="str">
        <x:v>13</x:v>
      </x:c>
      <x:c r="I54" s="11" t="str">
        <x:v>0.929</x:v>
      </x:c>
      <x:c r="J54" s="11" t="str"/>
      <x:c r="K54" s="11" t="str"/>
      <x:c r="L54" s="11" t="str">
        <x:v>https://zenodo.org/records/19447474</x:v>
      </x:c>
    </x:row>
    <x:row r="55">
      <x:c r="A55" s="11" t="str">
        <x:v>zenodo</x:v>
      </x:c>
      <x:c r="B55" s="11" t="str">
        <x:v>10.5281/zenodo.19446535</x:v>
      </x:c>
      <x:c r="C55" s="11" t="str">
        <x:v>Phase Calculus - Lifted-State Operator Calculus of the Primitive Roll with Connection Closure and Shadow/Completion Branch</x:v>
      </x:c>
      <x:c r="D55" s="11" t="str">
        <x:v>2026-04-07</x:v>
      </x:c>
      <x:c r="E55" s="11" t="str">
        <x:v>19</x:v>
      </x:c>
      <x:c r="F55" s="11" t="str">
        <x:v>18</x:v>
      </x:c>
      <x:c r="G55" s="11" t="str">
        <x:v>19</x:v>
      </x:c>
      <x:c r="H55" s="11" t="str">
        <x:v>18</x:v>
      </x:c>
      <x:c r="I55" s="11" t="str">
        <x:v>0.947</x:v>
      </x:c>
      <x:c r="J55" s="11" t="str"/>
      <x:c r="K55" s="11" t="str"/>
      <x:c r="L55" s="11" t="str">
        <x:v>https://zenodo.org/records/19446535</x:v>
      </x:c>
    </x:row>
    <x:row r="56">
      <x:c r="A56" s="11" t="str">
        <x:v>zenodo</x:v>
      </x:c>
      <x:c r="B56" s="11" t="str">
        <x:v>10.5281/zenodo.19382911</x:v>
      </x:c>
      <x:c r="C56" s="11" t="str">
        <x:v>CF06: Information Geometry Foundations — Fisher and Ruppeiner Metrics for the M-Limb</x:v>
      </x:c>
      <x:c r="D56" s="11" t="str">
        <x:v>2026-04-02</x:v>
      </x:c>
      <x:c r="E56" s="11" t="str">
        <x:v>43</x:v>
      </x:c>
      <x:c r="F56" s="11" t="str">
        <x:v>36</x:v>
      </x:c>
      <x:c r="G56" s="11" t="str">
        <x:v>49</x:v>
      </x:c>
      <x:c r="H56" s="11" t="str">
        <x:v>41</x:v>
      </x:c>
      <x:c r="I56" s="11" t="str">
        <x:v>0.837</x:v>
      </x:c>
      <x:c r="J56" s="11" t="str"/>
      <x:c r="K56" s="11" t="str"/>
      <x:c r="L56" s="11" t="str">
        <x:v>https://zenodo.org/records/19382911</x:v>
      </x:c>
    </x:row>
    <x:row r="57">
      <x:c r="A57" s="11" t="str">
        <x:v>zenodo</x:v>
      </x:c>
      <x:c r="B57" s="11" t="str">
        <x:v>10.5281/zenodo.19382899</x:v>
      </x:c>
      <x:c r="C57" s="11" t="str">
        <x:v>CF06: Information Geometry Foundations — Fisher and Ruppeiner Metrics for the M-Limb</x:v>
      </x:c>
      <x:c r="D57" s="11" t="str">
        <x:v>2026-04-02</x:v>
      </x:c>
      <x:c r="E57" s="11" t="str">
        <x:v>11</x:v>
      </x:c>
      <x:c r="F57" s="11" t="str">
        <x:v>11</x:v>
      </x:c>
      <x:c r="G57" s="11" t="str">
        <x:v>10</x:v>
      </x:c>
      <x:c r="H57" s="11" t="str">
        <x:v>10</x:v>
      </x:c>
      <x:c r="I57" s="11" t="str">
        <x:v>1</x:v>
      </x:c>
      <x:c r="J57" s="11" t="str"/>
      <x:c r="K57" s="11" t="str"/>
      <x:c r="L57" s="11" t="str">
        <x:v>https://zenodo.org/records/19382899</x:v>
      </x:c>
    </x:row>
    <x:row r="58">
      <x:c r="A58" s="11" t="str">
        <x:v>zenodo</x:v>
      </x:c>
      <x:c r="B58" s="11" t="str">
        <x:v>10.5281/zenodo.19164028</x:v>
      </x:c>
      <x:c r="C58" s="11" t="str">
        <x:v>CF06: Information Geometry Foundations — Fisher and Ruppeiner Metrics for the M-Limb</x:v>
      </x:c>
      <x:c r="D58" s="11" t="str">
        <x:v>2026-03-22</x:v>
      </x:c>
      <x:c r="E58" s="11" t="str">
        <x:v>18</x:v>
      </x:c>
      <x:c r="F58" s="11" t="str">
        <x:v>18</x:v>
      </x:c>
      <x:c r="G58" s="11" t="str">
        <x:v>18</x:v>
      </x:c>
      <x:c r="H58" s="11" t="str">
        <x:v>18</x:v>
      </x:c>
      <x:c r="I58" s="11" t="str">
        <x:v>1</x:v>
      </x:c>
      <x:c r="J58" s="11" t="str"/>
      <x:c r="K58" s="11" t="str"/>
      <x:c r="L58" s="11" t="str">
        <x:v>https://zenodo.org/records/19164028</x:v>
      </x:c>
    </x:row>
    <x:row r="59">
      <x:c r="A59" s="11" t="str">
        <x:v>zenodo</x:v>
      </x:c>
      <x:c r="B59" s="11" t="str">
        <x:v>10.5281/zenodo.19380587</x:v>
      </x:c>
      <x:c r="C59" s="11" t="str">
        <x:v>CF000: Primitive Distinguishability and Orthogonal Articulation</x:v>
      </x:c>
      <x:c r="D59" s="11" t="str">
        <x:v>2026-04-01</x:v>
      </x:c>
      <x:c r="E59" s="11" t="str">
        <x:v>92</x:v>
      </x:c>
      <x:c r="F59" s="11" t="str">
        <x:v>89</x:v>
      </x:c>
      <x:c r="G59" s="11" t="str">
        <x:v>64</x:v>
      </x:c>
      <x:c r="H59" s="11" t="str">
        <x:v>60</x:v>
      </x:c>
      <x:c r="I59" s="11" t="str">
        <x:v>0.938</x:v>
      </x:c>
      <x:c r="J59" s="11" t="str"/>
      <x:c r="K59" s="11" t="str"/>
      <x:c r="L59" s="11" t="str">
        <x:v>https://zenodo.org/records/19380587</x:v>
      </x:c>
    </x:row>
    <x:row r="60">
      <x:c r="A60" s="11" t="str">
        <x:v>zenodo</x:v>
      </x:c>
      <x:c r="B60" s="11" t="str">
        <x:v>10.5281/zenodo.19380518</x:v>
      </x:c>
      <x:c r="C60" s="11" t="str">
        <x:v>CF00: Induced Geometry and Emergent Dynamics</x:v>
      </x:c>
      <x:c r="D60" s="11" t="str">
        <x:v>2026-04-01</x:v>
      </x:c>
      <x:c r="E60" s="11" t="str">
        <x:v>44</x:v>
      </x:c>
      <x:c r="F60" s="11" t="str">
        <x:v>43</x:v>
      </x:c>
      <x:c r="G60" s="11" t="str">
        <x:v>27</x:v>
      </x:c>
      <x:c r="H60" s="11" t="str">
        <x:v>27</x:v>
      </x:c>
      <x:c r="I60" s="11" t="str">
        <x:v>1</x:v>
      </x:c>
      <x:c r="J60" s="11" t="str"/>
      <x:c r="K60" s="11" t="str"/>
      <x:c r="L60" s="11" t="str">
        <x:v>https://zenodo.org/records/19380518</x:v>
      </x:c>
    </x:row>
    <x:row r="61">
      <x:c r="A61" s="11" t="str">
        <x:v>zenodo</x:v>
      </x:c>
      <x:c r="B61" s="11" t="str">
        <x:v>10.5281/zenodo.19380435</x:v>
      </x:c>
      <x:c r="C61" s="11" t="str">
        <x:v>CF01: Quantum Geometric Tensor Decomposition to Metriplectic Brackets</x:v>
      </x:c>
      <x:c r="D61" s="11" t="str">
        <x:v>2026-04-01</x:v>
      </x:c>
      <x:c r="E61" s="11" t="str">
        <x:v>31</x:v>
      </x:c>
      <x:c r="F61" s="11" t="str">
        <x:v>31</x:v>
      </x:c>
      <x:c r="G61" s="11" t="str">
        <x:v>27</x:v>
      </x:c>
      <x:c r="H61" s="11" t="str">
        <x:v>27</x:v>
      </x:c>
      <x:c r="I61" s="11" t="str">
        <x:v>1</x:v>
      </x:c>
      <x:c r="J61" s="11" t="str"/>
      <x:c r="K61" s="11" t="str"/>
      <x:c r="L61" s="11" t="str">
        <x:v>https://zenodo.org/records/19380435</x:v>
      </x:c>
    </x:row>
    <x:row r="62">
      <x:c r="A62" s="11" t="str">
        <x:v>zenodo</x:v>
      </x:c>
      <x:c r="B62" s="11" t="str">
        <x:v>10.5281/zenodo.19380257</x:v>
      </x:c>
      <x:c r="C62" s="11" t="str">
        <x:v>CF02: Connecting Contact Geometry to Metriplectic Evolution</x:v>
      </x:c>
      <x:c r="D62" s="11" t="str">
        <x:v>2026-04-01</x:v>
      </x:c>
      <x:c r="E62" s="11" t="str">
        <x:v>25</x:v>
      </x:c>
      <x:c r="F62" s="11" t="str">
        <x:v>25</x:v>
      </x:c>
      <x:c r="G62" s="11" t="str">
        <x:v>26</x:v>
      </x:c>
      <x:c r="H62" s="11" t="str">
        <x:v>26</x:v>
      </x:c>
      <x:c r="I62" s="11" t="str">
        <x:v>1</x:v>
      </x:c>
      <x:c r="J62" s="11" t="str"/>
      <x:c r="K62" s="11" t="str"/>
      <x:c r="L62" s="11" t="str">
        <x:v>https://zenodo.org/records/19380257</x:v>
      </x:c>
    </x:row>
    <x:row r="63">
      <x:c r="A63" s="11" t="str">
        <x:v>zenodo</x:v>
      </x:c>
      <x:c r="B63" s="11" t="str">
        <x:v>10.5281/zenodo.19380133</x:v>
      </x:c>
      <x:c r="C63" s="11" t="str">
        <x:v>CF03: Logarithmic Scaling Theorem (Hierarchical Tachyonic Interfaces)</x:v>
      </x:c>
      <x:c r="D63" s="11" t="str">
        <x:v>2026-04-01</x:v>
      </x:c>
      <x:c r="E63" s="11" t="str">
        <x:v>61</x:v>
      </x:c>
      <x:c r="F63" s="11" t="str">
        <x:v>60</x:v>
      </x:c>
      <x:c r="G63" s="11" t="str">
        <x:v>43</x:v>
      </x:c>
      <x:c r="H63" s="11" t="str">
        <x:v>41</x:v>
      </x:c>
      <x:c r="I63" s="11" t="str">
        <x:v>0.953</x:v>
      </x:c>
      <x:c r="J63" s="11" t="str"/>
      <x:c r="K63" s="11" t="str"/>
      <x:c r="L63" s="11" t="str">
        <x:v>https://zenodo.org/records/19380133</x:v>
      </x:c>
    </x:row>
    <x:row r="64">
      <x:c r="A64" s="11" t="str">
        <x:v>zenodo</x:v>
      </x:c>
      <x:c r="B64" s="11" t="str">
        <x:v>10.5281/zenodo.19380039</x:v>
      </x:c>
      <x:c r="C64" s="11" t="str">
        <x:v>CF04: Telegraph-Fisher Causality (Finite-Speed Transport)</x:v>
      </x:c>
      <x:c r="D64" s="11" t="str">
        <x:v>2026-04-01</x:v>
      </x:c>
      <x:c r="E64" s="11" t="str">
        <x:v>43</x:v>
      </x:c>
      <x:c r="F64" s="11" t="str">
        <x:v>39</x:v>
      </x:c>
      <x:c r="G64" s="11" t="str">
        <x:v>38</x:v>
      </x:c>
      <x:c r="H64" s="11" t="str">
        <x:v>35</x:v>
      </x:c>
      <x:c r="I64" s="11" t="str">
        <x:v>0.921</x:v>
      </x:c>
      <x:c r="J64" s="11" t="str"/>
      <x:c r="K64" s="11" t="str"/>
      <x:c r="L64" s="11" t="str">
        <x:v>https://zenodo.org/records/19380039</x:v>
      </x:c>
    </x:row>
    <x:row r="65">
      <x:c r="A65" s="11" t="str">
        <x:v>zenodo</x:v>
      </x:c>
      <x:c r="B65" s="11" t="str">
        <x:v>10.5281/zenodo.19379928</x:v>
      </x:c>
      <x:c r="C65" s="11" t="str">
        <x:v>CF05: Integrability Closure (No Hidden Conserved Quantities)</x:v>
      </x:c>
      <x:c r="D65" s="11" t="str">
        <x:v>2026-04-01</x:v>
      </x:c>
      <x:c r="E65" s="11" t="str">
        <x:v>47</x:v>
      </x:c>
      <x:c r="F65" s="11" t="str">
        <x:v>45</x:v>
      </x:c>
      <x:c r="G65" s="11" t="str">
        <x:v>36</x:v>
      </x:c>
      <x:c r="H65" s="11" t="str">
        <x:v>35</x:v>
      </x:c>
      <x:c r="I65" s="11" t="str">
        <x:v>0.972</x:v>
      </x:c>
      <x:c r="J65" s="11" t="str"/>
      <x:c r="K65" s="11" t="str"/>
      <x:c r="L65" s="11" t="str">
        <x:v>https://zenodo.org/records/19379928</x:v>
      </x:c>
    </x:row>
    <x:row r="66">
      <x:c r="A66" s="11" t="str">
        <x:v>zenodo</x:v>
      </x:c>
      <x:c r="B66" s="11" t="str">
        <x:v>10.5281/zenodo.19267927</x:v>
      </x:c>
      <x:c r="C66" s="11" t="str">
        <x:v>CF19: The Full Lifted Object of the Primitive Roll and Exact Return to Lifted Origin</x:v>
      </x:c>
      <x:c r="D66" s="11" t="str">
        <x:v>2026-03-27</x:v>
      </x:c>
      <x:c r="E66" s="11" t="str">
        <x:v>68</x:v>
      </x:c>
      <x:c r="F66" s="11" t="str">
        <x:v>65</x:v>
      </x:c>
      <x:c r="G66" s="11" t="str">
        <x:v>63</x:v>
      </x:c>
      <x:c r="H66" s="11" t="str">
        <x:v>58</x:v>
      </x:c>
      <x:c r="I66" s="11" t="str">
        <x:v>0.921</x:v>
      </x:c>
      <x:c r="J66" s="11" t="str"/>
      <x:c r="K66" s="11" t="str"/>
      <x:c r="L66" s="11" t="str">
        <x:v>https://zenodo.org/records/19267927</x:v>
      </x:c>
    </x:row>
    <x:row r="67">
      <x:c r="A67" s="11" t="str">
        <x:v>zenodo</x:v>
      </x:c>
      <x:c r="B67" s="11" t="str">
        <x:v>10.5281/zenodo.19242223</x:v>
      </x:c>
      <x:c r="C67" s="11" t="str">
        <x:v>The Full Lifted Object of the Primitive Roll: Exact Balanced-Window Evolution, True Return, π-Position, and the First Completion Bridge</x:v>
      </x:c>
      <x:c r="D67" s="11" t="str">
        <x:v>2026-03-26</x:v>
      </x:c>
      <x:c r="E67" s="11" t="str">
        <x:v>25</x:v>
      </x:c>
      <x:c r="F67" s="11" t="str">
        <x:v>25</x:v>
      </x:c>
      <x:c r="G67" s="11" t="str">
        <x:v>21</x:v>
      </x:c>
      <x:c r="H67" s="11" t="str">
        <x:v>21</x:v>
      </x:c>
      <x:c r="I67" s="11" t="str">
        <x:v>1</x:v>
      </x:c>
      <x:c r="J67" s="11" t="str"/>
      <x:c r="K67" s="11" t="str"/>
      <x:c r="L67" s="11" t="str">
        <x:v>https://zenodo.org/records/19242223</x:v>
      </x:c>
    </x:row>
    <x:row r="68">
      <x:c r="A68" s="11" t="str">
        <x:v>zenodo</x:v>
      </x:c>
      <x:c r="B68" s="11" t="str">
        <x:v>10.5281/zenodo.19211725</x:v>
      </x:c>
      <x:c r="C68" s="11" t="str">
        <x:v>Universal Orthogonality Invariant: The Generative Nature of i</x:v>
      </x:c>
      <x:c r="D68" s="11" t="str">
        <x:v>2026-03-24</x:v>
      </x:c>
      <x:c r="E68" s="11" t="str">
        <x:v>59</x:v>
      </x:c>
      <x:c r="F68" s="11" t="str">
        <x:v>56</x:v>
      </x:c>
      <x:c r="G68" s="11" t="str">
        <x:v>58</x:v>
      </x:c>
      <x:c r="H68" s="11" t="str">
        <x:v>55</x:v>
      </x:c>
      <x:c r="I68" s="11" t="str">
        <x:v>0.948</x:v>
      </x:c>
      <x:c r="J68" s="11" t="str"/>
      <x:c r="K68" s="11" t="str"/>
      <x:c r="L68" s="11" t="str">
        <x:v>https://zenodo.org/records/19211725</x:v>
      </x:c>
    </x:row>
    <x:row r="69">
      <x:c r="A69" s="11" t="str">
        <x:v>zenodo</x:v>
      </x:c>
      <x:c r="B69" s="11" t="str">
        <x:v>10.5281/zenodo.19210954</x:v>
      </x:c>
      <x:c r="C69" s="11" t="str">
        <x:v>Farey Remainder Recursion and Orthogonal Re-Articulation: An Exact Infinity-Resolution Theorem</x:v>
      </x:c>
      <x:c r="D69" s="11" t="str">
        <x:v>2026-03-24</x:v>
      </x:c>
      <x:c r="E69" s="11" t="str">
        <x:v>85</x:v>
      </x:c>
      <x:c r="F69" s="11" t="str">
        <x:v>78</x:v>
      </x:c>
      <x:c r="G69" s="11" t="str">
        <x:v>54</x:v>
      </x:c>
      <x:c r="H69" s="11" t="str">
        <x:v>49</x:v>
      </x:c>
      <x:c r="I69" s="11" t="str">
        <x:v>0.907</x:v>
      </x:c>
      <x:c r="J69" s="11" t="str"/>
      <x:c r="K69" s="11" t="str"/>
      <x:c r="L69" s="11" t="str">
        <x:v>https://zenodo.org/records/19210954</x:v>
      </x:c>
    </x:row>
    <x:row r="70">
      <x:c r="A70" s="11" t="str">
        <x:v>zenodo</x:v>
      </x:c>
      <x:c r="B70" s="11" t="str">
        <x:v>10.5281/zenodo.19210923</x:v>
      </x:c>
      <x:c r="C70" s="11" t="str">
        <x:v>Universal Orthogonality Invariant: The Generative Nature of i</x:v>
      </x:c>
      <x:c r="D70" s="11" t="str">
        <x:v>2026-03-24</x:v>
      </x:c>
      <x:c r="E70" s="11" t="str">
        <x:v>19</x:v>
      </x:c>
      <x:c r="F70" s="11" t="str">
        <x:v>19</x:v>
      </x:c>
      <x:c r="G70" s="11" t="str">
        <x:v>18</x:v>
      </x:c>
      <x:c r="H70" s="11" t="str">
        <x:v>18</x:v>
      </x:c>
      <x:c r="I70" s="11" t="str">
        <x:v>1</x:v>
      </x:c>
      <x:c r="J70" s="11" t="str"/>
      <x:c r="K70" s="11" t="str"/>
      <x:c r="L70" s="11" t="str">
        <x:v>https://zenodo.org/records/19210923</x:v>
      </x:c>
    </x:row>
    <x:row r="71">
      <x:c r="A71" s="11" t="str">
        <x:v>zenodo</x:v>
      </x:c>
      <x:c r="B71" s="11" t="str">
        <x:v>10.5281/zenodo.19163352</x:v>
      </x:c>
      <x:c r="C71" s="11" t="str">
        <x:v>CF12: Derived Gravity, Black Holes, and Saturation Geometry</x:v>
      </x:c>
      <x:c r="D71" s="11" t="str">
        <x:v>2026-03-22</x:v>
      </x:c>
      <x:c r="E71" s="11" t="str">
        <x:v>46</x:v>
      </x:c>
      <x:c r="F71" s="11" t="str">
        <x:v>41</x:v>
      </x:c>
      <x:c r="G71" s="11" t="str">
        <x:v>58</x:v>
      </x:c>
      <x:c r="H71" s="11" t="str">
        <x:v>49</x:v>
      </x:c>
      <x:c r="I71" s="11" t="str">
        <x:v>0.845</x:v>
      </x:c>
      <x:c r="J71" s="11" t="str"/>
      <x:c r="K71" s="11" t="str"/>
      <x:c r="L71" s="11" t="str">
        <x:v>https://zenodo.org/records/19163352</x:v>
      </x:c>
    </x:row>
    <x:row r="72">
      <x:c r="A72" s="11" t="str">
        <x:v>zenodo</x:v>
      </x:c>
      <x:c r="B72" s="11" t="str">
        <x:v>10.5281/zenodo.19163944</x:v>
      </x:c>
      <x:c r="C72" s="11" t="str">
        <x:v>CF07: Measurement Theory Foundations - Decoherence and Born Rule Emergence</x:v>
      </x:c>
      <x:c r="D72" s="11" t="str">
        <x:v>2026-03-22</x:v>
      </x:c>
      <x:c r="E72" s="11" t="str">
        <x:v>48</x:v>
      </x:c>
      <x:c r="F72" s="11" t="str">
        <x:v>48</x:v>
      </x:c>
      <x:c r="G72" s="11" t="str">
        <x:v>35</x:v>
      </x:c>
      <x:c r="H72" s="11" t="str">
        <x:v>34</x:v>
      </x:c>
      <x:c r="I72" s="11" t="str">
        <x:v>0.971</x:v>
      </x:c>
      <x:c r="J72" s="11" t="str"/>
      <x:c r="K72" s="11" t="str"/>
      <x:c r="L72" s="11" t="str">
        <x:v>https://zenodo.org/records/19163944</x:v>
      </x:c>
    </x:row>
    <x:row r="73">
      <x:c r="A73" s="11" t="str">
        <x:v>zenodo</x:v>
      </x:c>
      <x:c r="B73" s="11" t="str">
        <x:v>10.5281/zenodo.19163918</x:v>
      </x:c>
      <x:c r="C73" s="11" t="str">
        <x:v>CF08: Spinor Emergence via Domain-Wall Fermions (Nielsen-Ninomiya Defense)</x:v>
      </x:c>
      <x:c r="D73" s="11" t="str">
        <x:v>2026-03-22</x:v>
      </x:c>
      <x:c r="E73" s="11" t="str">
        <x:v>38</x:v>
      </x:c>
      <x:c r="F73" s="11" t="str">
        <x:v>38</x:v>
      </x:c>
      <x:c r="G73" s="11" t="str">
        <x:v>36</x:v>
      </x:c>
      <x:c r="H73" s="11" t="str">
        <x:v>36</x:v>
      </x:c>
      <x:c r="I73" s="11" t="str">
        <x:v>1</x:v>
      </x:c>
      <x:c r="J73" s="11" t="str"/>
      <x:c r="K73" s="11" t="str"/>
      <x:c r="L73" s="11" t="str">
        <x:v>https://zenodo.org/records/19163918</x:v>
      </x:c>
    </x:row>
    <x:row r="74">
      <x:c r="A74" s="11" t="str">
        <x:v>zenodo</x:v>
      </x:c>
      <x:c r="B74" s="11" t="str">
        <x:v>10.5281/zenodo.19163873</x:v>
      </x:c>
      <x:c r="C74" s="11" t="str">
        <x:v>CF09: Gauge Field Emergence via Berry Connection (Weinberg-Witten Defense)</x:v>
      </x:c>
      <x:c r="D74" s="11" t="str">
        <x:v>2026-03-22</x:v>
      </x:c>
      <x:c r="E74" s="11" t="str">
        <x:v>28</x:v>
      </x:c>
      <x:c r="F74" s="11" t="str">
        <x:v>27</x:v>
      </x:c>
      <x:c r="G74" s="11" t="str">
        <x:v>27</x:v>
      </x:c>
      <x:c r="H74" s="11" t="str">
        <x:v>26</x:v>
      </x:c>
      <x:c r="I74" s="11" t="str">
        <x:v>0.963</x:v>
      </x:c>
      <x:c r="J74" s="11" t="str"/>
      <x:c r="K74" s="11" t="str"/>
      <x:c r="L74" s="11" t="str">
        <x:v>https://zenodo.org/records/19163873</x:v>
      </x:c>
    </x:row>
    <x:row r="75">
      <x:c r="A75" s="11" t="str">
        <x:v>zenodo</x:v>
      </x:c>
      <x:c r="B75" s="11" t="str">
        <x:v>10.5281/zenodo.19163509</x:v>
      </x:c>
      <x:c r="C75" s="11" t="str">
        <x:v>CF10: VDM Lattice Hydrodynamics, Continuum Limit, and Regularity Program</x:v>
      </x:c>
      <x:c r="D75" s="11" t="str">
        <x:v>2026-03-22</x:v>
      </x:c>
      <x:c r="E75" s="11" t="str">
        <x:v>35</x:v>
      </x:c>
      <x:c r="F75" s="11" t="str">
        <x:v>34</x:v>
      </x:c>
      <x:c r="G75" s="11" t="str">
        <x:v>35</x:v>
      </x:c>
      <x:c r="H75" s="11" t="str">
        <x:v>32</x:v>
      </x:c>
      <x:c r="I75" s="11" t="str">
        <x:v>0.914</x:v>
      </x:c>
      <x:c r="J75" s="11" t="str"/>
      <x:c r="K75" s="11" t="str"/>
      <x:c r="L75" s="11" t="str">
        <x:v>https://zenodo.org/records/19163509</x:v>
      </x:c>
    </x:row>
    <x:row r="76">
      <x:c r="A76" s="11" t="str">
        <x:v>zenodo</x:v>
      </x:c>
      <x:c r="B76" s="11" t="str">
        <x:v>10.5281/zenodo.19163437</x:v>
      </x:c>
      <x:c r="C76" s="11" t="str">
        <x:v>CF11: Dark Sector Emergence from Metriplectic Dynamics</x:v>
      </x:c>
      <x:c r="D76" s="11" t="str">
        <x:v>2026-03-22</x:v>
      </x:c>
      <x:c r="E76" s="11" t="str">
        <x:v>35</x:v>
      </x:c>
      <x:c r="F76" s="11" t="str">
        <x:v>34</x:v>
      </x:c>
      <x:c r="G76" s="11" t="str">
        <x:v>46</x:v>
      </x:c>
      <x:c r="H76" s="11" t="str">
        <x:v>45</x:v>
      </x:c>
      <x:c r="I76" s="11" t="str">
        <x:v>0.978</x:v>
      </x:c>
      <x:c r="J76" s="11" t="str"/>
      <x:c r="K76" s="11" t="str"/>
      <x:c r="L76" s="11" t="str">
        <x:v>https://zenodo.org/records/19163437</x:v>
      </x:c>
    </x:row>
    <x:row r="77">
      <x:c r="A77" s="11" t="str">
        <x:v>zenodo</x:v>
      </x:c>
      <x:c r="B77" s="11" t="str">
        <x:v>10.5281/zenodo.19163245</x:v>
      </x:c>
      <x:c r="C77" s="11" t="str">
        <x:v>CF13 - π, Transcendence, Chirality, and the Nielsen-Ninomia Obstruction</x:v>
      </x:c>
      <x:c r="D77" s="11" t="str">
        <x:v>2026-03-22</x:v>
      </x:c>
      <x:c r="E77" s="11" t="str">
        <x:v>34</x:v>
      </x:c>
      <x:c r="F77" s="11" t="str">
        <x:v>34</x:v>
      </x:c>
      <x:c r="G77" s="11" t="str">
        <x:v>35</x:v>
      </x:c>
      <x:c r="H77" s="11" t="str">
        <x:v>34</x:v>
      </x:c>
      <x:c r="I77" s="11" t="str">
        <x:v>0.971</x:v>
      </x:c>
      <x:c r="J77" s="11" t="str"/>
      <x:c r="K77" s="11" t="str"/>
      <x:c r="L77" s="11" t="str">
        <x:v>https://zenodo.org/records/19163245</x:v>
      </x:c>
    </x:row>
    <x:row r="78">
      <x:c r="A78" s="11" t="str">
        <x:v>zenodo</x:v>
      </x:c>
      <x:c r="B78" s="11" t="str">
        <x:v>10.5281/zenodo.19163200</x:v>
      </x:c>
      <x:c r="C78" s="11" t="str">
        <x:v>CF14: Principle of Stationary Action as Temporal Effective Invariant</x:v>
      </x:c>
      <x:c r="D78" s="11" t="str">
        <x:v>2026-03-22</x:v>
      </x:c>
      <x:c r="E78" s="11" t="str">
        <x:v>33</x:v>
      </x:c>
      <x:c r="F78" s="11" t="str">
        <x:v>33</x:v>
      </x:c>
      <x:c r="G78" s="11" t="str">
        <x:v>40</x:v>
      </x:c>
      <x:c r="H78" s="11" t="str">
        <x:v>40</x:v>
      </x:c>
      <x:c r="I78" s="11" t="str">
        <x:v>1</x:v>
      </x:c>
      <x:c r="J78" s="11" t="str"/>
      <x:c r="K78" s="11" t="str"/>
      <x:c r="L78" s="11" t="str">
        <x:v>https://zenodo.org/records/19163200</x:v>
      </x:c>
    </x:row>
    <x:row r="79">
      <x:c r="A79" s="11" t="str">
        <x:v>zenodo</x:v>
      </x:c>
      <x:c r="B79" s="11" t="str">
        <x:v>10.5281/zenodo.19163157</x:v>
      </x:c>
      <x:c r="C79" s="11" t="str">
        <x:v>CF15: Noether's Theorem as Invariant Articulation Cost</x:v>
      </x:c>
      <x:c r="D79" s="11" t="str">
        <x:v>2026-03-22</x:v>
      </x:c>
      <x:c r="E79" s="11" t="str">
        <x:v>32</x:v>
      </x:c>
      <x:c r="F79" s="11" t="str">
        <x:v>31</x:v>
      </x:c>
      <x:c r="G79" s="11" t="str">
        <x:v>26</x:v>
      </x:c>
      <x:c r="H79" s="11" t="str">
        <x:v>24</x:v>
      </x:c>
      <x:c r="I79" s="11" t="str">
        <x:v>0.923</x:v>
      </x:c>
      <x:c r="J79" s="11" t="str"/>
      <x:c r="K79" s="11" t="str"/>
      <x:c r="L79" s="11" t="str">
        <x:v>https://zenodo.org/records/19163157</x:v>
      </x:c>
    </x:row>
    <x:row r="80">
      <x:c r="A80" s="11" t="str">
        <x:v>zenodo</x:v>
      </x:c>
      <x:c r="B80" s="11" t="str">
        <x:v>10.5281/zenodo.19163139</x:v>
      </x:c>
      <x:c r="C80" s="11" t="str">
        <x:v>CF16: Electroweak Fiber Splitting, Chiral Weak Coupling, Neutral Gauge Mixing, and Broken Gauge-Scalar Structure</x:v>
      </x:c>
      <x:c r="D80" s="11" t="str">
        <x:v>2026-03-22</x:v>
      </x:c>
      <x:c r="E80" s="11" t="str">
        <x:v>36</x:v>
      </x:c>
      <x:c r="F80" s="11" t="str">
        <x:v>35</x:v>
      </x:c>
      <x:c r="G80" s="11" t="str">
        <x:v>32</x:v>
      </x:c>
      <x:c r="H80" s="11" t="str">
        <x:v>31</x:v>
      </x:c>
      <x:c r="I80" s="11" t="str">
        <x:v>0.969</x:v>
      </x:c>
      <x:c r="J80" s="11" t="str"/>
      <x:c r="K80" s="11" t="str"/>
      <x:c r="L80" s="11" t="str">
        <x:v>https://zenodo.org/records/19163139</x:v>
      </x:c>
    </x:row>
    <x:row r="81">
      <x:c r="A81" s="11" t="str">
        <x:v>zenodo</x:v>
      </x:c>
      <x:c r="B81" s="11" t="str">
        <x:v>10.5281/zenodo.19163117</x:v>
      </x:c>
      <x:c r="C81" s="11" t="str">
        <x:v>CF17: Non-Abelian Saturation, Flux-Tube Formation, Quantitative Confinement, String Breaking, and Deconfinement</x:v>
      </x:c>
      <x:c r="D81" s="11" t="str">
        <x:v>2026-03-22</x:v>
      </x:c>
      <x:c r="E81" s="11" t="str">
        <x:v>30</x:v>
      </x:c>
      <x:c r="F81" s="11" t="str">
        <x:v>30</x:v>
      </x:c>
      <x:c r="G81" s="11" t="str">
        <x:v>36</x:v>
      </x:c>
      <x:c r="H81" s="11" t="str">
        <x:v>35</x:v>
      </x:c>
      <x:c r="I81" s="11" t="str">
        <x:v>0.972</x:v>
      </x:c>
      <x:c r="J81" s="11" t="str"/>
      <x:c r="K81" s="11" t="str"/>
      <x:c r="L81" s="11" t="str">
        <x:v>https://zenodo.org/records/19163117</x:v>
      </x:c>
    </x:row>
    <x:row r="82">
      <x:c r="A82" s="11" t="str">
        <x:v>zenodo</x:v>
      </x:c>
      <x:c r="B82" s="11" t="str">
        <x:v>10.5281/zenodo.19163003</x:v>
      </x:c>
      <x:c r="C82" s="11" t="str">
        <x:v>CF18: Scale Re-Articulation, Effective Action, Hidden-Return Corrections, Running Couplings, Renormalization, and Corrected Symmetry Structure</x:v>
      </x:c>
      <x:c r="D82" s="11" t="str">
        <x:v>2026-03-22</x:v>
      </x:c>
      <x:c r="E82" s="11" t="str">
        <x:v>35</x:v>
      </x:c>
      <x:c r="F82" s="11" t="str">
        <x:v>33</x:v>
      </x:c>
      <x:c r="G82" s="11" t="str">
        <x:v>41</x:v>
      </x:c>
      <x:c r="H82" s="11" t="str">
        <x:v>38</x:v>
      </x:c>
      <x:c r="I82" s="11" t="str">
        <x:v>0.927</x:v>
      </x:c>
      <x:c r="J82" s="11" t="str"/>
      <x:c r="K82" s="11" t="str"/>
      <x:c r="L82" s="11" t="str">
        <x:v>https://zenodo.org/records/19163003</x:v>
      </x:c>
    </x:row>
    <x:row r="83">
      <x:c r="A83" s="11" t="str">
        <x:v>zenodo</x:v>
      </x:c>
      <x:c r="B83" s="11" t="str">
        <x:v>10.5281/zenodo.19158339</x:v>
      </x:c>
      <x:c r="C83" s="11" t="str">
        <x:v>Universal Axiom of Primitive Bifurcation and Orthogonal Articulation</x:v>
      </x:c>
      <x:c r="D83" s="11" t="str">
        <x:v>2026-03-22</x:v>
      </x:c>
      <x:c r="E83" s="11" t="str">
        <x:v>30</x:v>
      </x:c>
      <x:c r="F83" s="11" t="str">
        <x:v>29</x:v>
      </x:c>
      <x:c r="G83" s="11" t="str">
        <x:v>48</x:v>
      </x:c>
      <x:c r="H83" s="11" t="str">
        <x:v>44</x:v>
      </x:c>
      <x:c r="I83" s="11" t="str">
        <x:v>0.917</x:v>
      </x:c>
      <x:c r="J83" s="11" t="str"/>
      <x:c r="K83" s="11" t="str"/>
      <x:c r="L83" s="11" t="str">
        <x:v>https://zenodo.org/records/19158339</x:v>
      </x:c>
    </x:row>
    <x:row r="84">
      <x:c r="A84" s="11" t="str">
        <x:v>zenodo</x:v>
      </x:c>
      <x:c r="B84" s="11" t="str">
        <x:v>10.5281/zenodo.19158075</x:v>
      </x:c>
      <x:c r="C84" s="11" t="str">
        <x:v>Void Dynamics Model Formula Catalogue</x:v>
      </x:c>
      <x:c r="D84" s="11" t="str">
        <x:v>2026-03-22</x:v>
      </x:c>
      <x:c r="E84" s="11" t="str">
        <x:v>29</x:v>
      </x:c>
      <x:c r="F84" s="11" t="str">
        <x:v>28</x:v>
      </x:c>
      <x:c r="G84" s="11" t="str">
        <x:v>21</x:v>
      </x:c>
      <x:c r="H84" s="11" t="str">
        <x:v>19</x:v>
      </x:c>
      <x:c r="I84" s="11" t="str">
        <x:v>0.905</x:v>
      </x:c>
      <x:c r="J84" s="11" t="str"/>
      <x:c r="K84" s="11" t="str"/>
      <x:c r="L84" s="11" t="str">
        <x:v>https://zenodo.org/records/19158075</x:v>
      </x:c>
    </x:row>
    <x:row r="85">
      <x:c r="A85" s="11" t="str">
        <x:v>zenodo</x:v>
      </x:c>
      <x:c r="B85" s="11" t="str">
        <x:v>10.5281/zenodo.19155667</x:v>
      </x:c>
      <x:c r="C85" s="11" t="str">
        <x:v>The Lietz Infinity Resolution Conjecture: Logarithmic Hierarchical Interfaces as the Tachyonic Pulled-Front Re-Expression of the Primitive Invariant</x:v>
      </x:c>
      <x:c r="D85" s="11" t="str">
        <x:v>2025-11-02</x:v>
      </x:c>
      <x:c r="E85" s="11" t="str">
        <x:v>90</x:v>
      </x:c>
      <x:c r="F85" s="11" t="str">
        <x:v>87</x:v>
      </x:c>
      <x:c r="G85" s="11" t="str">
        <x:v>45</x:v>
      </x:c>
      <x:c r="H85" s="11" t="str">
        <x:v>42</x:v>
      </x:c>
      <x:c r="I85" s="11" t="str">
        <x:v>0.933</x:v>
      </x:c>
      <x:c r="J85" s="11" t="str"/>
      <x:c r="K85" s="11" t="str"/>
      <x:c r="L85" s="11" t="str">
        <x:v>https://zenodo.org/records/19155667</x:v>
      </x:c>
    </x:row>
    <x:row r="86">
      <x:c r="A86" s="11" t="str">
        <x:v>zenodo</x:v>
      </x:c>
      <x:c r="B86" s="11" t="str">
        <x:v>10.5281/zenodo.19155030</x:v>
      </x:c>
      <x:c r="C86" s="11" t="str">
        <x:v>Theoretical Foundations for the Adaptive Modular Network</x:v>
      </x:c>
      <x:c r="D86" s="11" t="str">
        <x:v>2025-01-08</x:v>
      </x:c>
      <x:c r="E86" s="11" t="str">
        <x:v>26</x:v>
      </x:c>
      <x:c r="F86" s="11" t="str">
        <x:v>26</x:v>
      </x:c>
      <x:c r="G86" s="11" t="str">
        <x:v>20</x:v>
      </x:c>
      <x:c r="H86" s="11" t="str">
        <x:v>19</x:v>
      </x:c>
      <x:c r="I86" s="11" t="str">
        <x:v>0.95</x:v>
      </x:c>
      <x:c r="J86" s="11" t="str"/>
      <x:c r="K86" s="11" t="str"/>
      <x:c r="L86" s="11" t="str">
        <x:v>https://zenodo.org/records/19155030</x:v>
      </x:c>
    </x:row>
    <x:row r="87">
      <x:c r="A87" s="11" t="str">
        <x:v>zenodo</x:v>
      </x:c>
      <x:c r="B87" s="11" t="str">
        <x:v>10.5281/zenodo.19155003</x:v>
      </x:c>
      <x:c r="C87" s="11" t="str">
        <x:v>Self Improvement Engine Stability Analysis Framework</x:v>
      </x:c>
      <x:c r="D87" s="11" t="str">
        <x:v>2025-04-02</x:v>
      </x:c>
      <x:c r="E87" s="11" t="str">
        <x:v>28</x:v>
      </x:c>
      <x:c r="F87" s="11" t="str">
        <x:v>28</x:v>
      </x:c>
      <x:c r="G87" s="11" t="str">
        <x:v>20</x:v>
      </x:c>
      <x:c r="H87" s="11" t="str">
        <x:v>20</x:v>
      </x:c>
      <x:c r="I87" s="11" t="str">
        <x:v>1</x:v>
      </x:c>
      <x:c r="J87" s="11" t="str"/>
      <x:c r="K87" s="11" t="str"/>
      <x:c r="L87" s="11" t="str">
        <x:v>https://zenodo.org/records/19155003</x:v>
      </x:c>
    </x:row>
    <x:row r="88">
      <x:c r="A88" s="11" t="str">
        <x:v>zenodo</x:v>
      </x:c>
      <x:c r="B88" s="11" t="str">
        <x:v>10.5281/zenodo.19154453</x:v>
      </x:c>
      <x:c r="C88" s="11" t="str">
        <x:v>CF18: Scale Re-Articulation, Effective Action, Hidden-Return Corrections, Running Couplings, Renormalization, and Corrected Symmetry Structure</x:v>
      </x:c>
      <x:c r="D88" s="11" t="str">
        <x:v>2026-03-21</x:v>
      </x:c>
      <x:c r="E88" s="11" t="str">
        <x:v>33</x:v>
      </x:c>
      <x:c r="F88" s="11" t="str">
        <x:v>32</x:v>
      </x:c>
      <x:c r="G88" s="11" t="str">
        <x:v>26</x:v>
      </x:c>
      <x:c r="H88" s="11" t="str">
        <x:v>25</x:v>
      </x:c>
      <x:c r="I88" s="11" t="str">
        <x:v>0.962</x:v>
      </x:c>
      <x:c r="J88" s="11" t="str"/>
      <x:c r="K88" s="11" t="str"/>
      <x:c r="L88" s="11" t="str">
        <x:v>https://zenodo.org/records/19154453</x:v>
      </x:c>
    </x:row>
    <x:row r="89">
      <x:c r="A89" s="11" t="str">
        <x:v>zenodo</x:v>
      </x:c>
      <x:c r="B89" s="11" t="str">
        <x:v>10.5281/zenodo.19154343</x:v>
      </x:c>
      <x:c r="C89" s="11" t="str">
        <x:v>CF17: Non-Abelian Saturation, Flux-Tube Formation, Quantitative Confinement, String Breaking, and Deconfinement</x:v>
      </x:c>
      <x:c r="D89" s="11" t="str">
        <x:v>2026-03-21</x:v>
      </x:c>
      <x:c r="E89" s="11" t="str">
        <x:v>19</x:v>
      </x:c>
      <x:c r="F89" s="11" t="str">
        <x:v>19</x:v>
      </x:c>
      <x:c r="G89" s="11" t="str">
        <x:v>14</x:v>
      </x:c>
      <x:c r="H89" s="11" t="str">
        <x:v>14</x:v>
      </x:c>
      <x:c r="I89" s="11" t="str">
        <x:v>1</x:v>
      </x:c>
      <x:c r="J89" s="11" t="str"/>
      <x:c r="K89" s="11" t="str"/>
      <x:c r="L89" s="11" t="str">
        <x:v>https://zenodo.org/records/19154343</x:v>
      </x:c>
    </x:row>
    <x:row r="90">
      <x:c r="A90" s="11" t="str">
        <x:v>zenodo</x:v>
      </x:c>
      <x:c r="B90" s="11" t="str">
        <x:v>10.5281/zenodo.19153908</x:v>
      </x:c>
      <x:c r="C90" s="11" t="str">
        <x:v>CF16: Electroweak Fiber Splitting, Chiral Weak Coupling, Neutral Gauge Mixing, and Broken Gauge-Scalar Structure</x:v>
      </x:c>
      <x:c r="D90" s="11" t="str">
        <x:v>2026-03-21</x:v>
      </x:c>
      <x:c r="E90" s="11" t="str">
        <x:v>23</x:v>
      </x:c>
      <x:c r="F90" s="11" t="str">
        <x:v>23</x:v>
      </x:c>
      <x:c r="G90" s="11" t="str">
        <x:v>20</x:v>
      </x:c>
      <x:c r="H90" s="11" t="str">
        <x:v>20</x:v>
      </x:c>
      <x:c r="I90" s="11" t="str">
        <x:v>1</x:v>
      </x:c>
      <x:c r="J90" s="11" t="str"/>
      <x:c r="K90" s="11" t="str"/>
      <x:c r="L90" s="11" t="str">
        <x:v>https://zenodo.org/records/19153908</x:v>
      </x:c>
    </x:row>
    <x:row r="91">
      <x:c r="A91" s="11" t="str">
        <x:v>zenodo</x:v>
      </x:c>
      <x:c r="B91" s="11" t="str">
        <x:v>10.5281/zenodo.19139375</x:v>
      </x:c>
      <x:c r="C91" s="11" t="str">
        <x:v>CF15: Noether's Theorem as Invariant Articulation Cost</x:v>
      </x:c>
      <x:c r="D91" s="11" t="str">
        <x:v>2026-03-20</x:v>
      </x:c>
      <x:c r="E91" s="11" t="str">
        <x:v>22</x:v>
      </x:c>
      <x:c r="F91" s="11" t="str">
        <x:v>22</x:v>
      </x:c>
      <x:c r="G91" s="11" t="str">
        <x:v>15</x:v>
      </x:c>
      <x:c r="H91" s="11" t="str">
        <x:v>15</x:v>
      </x:c>
      <x:c r="I91" s="11" t="str">
        <x:v>1</x:v>
      </x:c>
      <x:c r="J91" s="11" t="str"/>
      <x:c r="K91" s="11" t="str"/>
      <x:c r="L91" s="11" t="str">
        <x:v>https://zenodo.org/records/19139375</x:v>
      </x:c>
    </x:row>
    <x:row r="92">
      <x:c r="A92" s="11" t="str">
        <x:v>zenodo</x:v>
      </x:c>
      <x:c r="B92" s="11" t="str">
        <x:v>10.5281/zenodo.19133897</x:v>
      </x:c>
      <x:c r="C92" s="11" t="str">
        <x:v>CF14: Principle of Stationary Action as Temporal Effective Invariant</x:v>
      </x:c>
      <x:c r="D92" s="11" t="str">
        <x:v>2026-03-20</x:v>
      </x:c>
      <x:c r="E92" s="11" t="str">
        <x:v>31</x:v>
      </x:c>
      <x:c r="F92" s="11" t="str">
        <x:v>31</x:v>
      </x:c>
      <x:c r="G92" s="11" t="str">
        <x:v>27</x:v>
      </x:c>
      <x:c r="H92" s="11" t="str">
        <x:v>27</x:v>
      </x:c>
      <x:c r="I92" s="11" t="str">
        <x:v>1</x:v>
      </x:c>
      <x:c r="J92" s="11" t="str"/>
      <x:c r="K92" s="11" t="str"/>
      <x:c r="L92" s="11" t="str">
        <x:v>https://zenodo.org/records/19133897</x:v>
      </x:c>
    </x:row>
    <x:row r="93">
      <x:c r="A93" s="11" t="str">
        <x:v>zenodo</x:v>
      </x:c>
      <x:c r="B93" s="11" t="str">
        <x:v>10.5281/zenodo.19130313</x:v>
      </x:c>
      <x:c r="C93" s="11" t="str">
        <x:v>Universal Axiom of Primitive Bifurcation and Orthogonal Articulation</x:v>
      </x:c>
      <x:c r="D93" s="11" t="str">
        <x:v>2026-03-20</x:v>
      </x:c>
      <x:c r="E93" s="11" t="str">
        <x:v>32</x:v>
      </x:c>
      <x:c r="F93" s="11" t="str">
        <x:v>31</x:v>
      </x:c>
      <x:c r="G93" s="11" t="str">
        <x:v>21</x:v>
      </x:c>
      <x:c r="H93" s="11" t="str">
        <x:v>21</x:v>
      </x:c>
      <x:c r="I93" s="11" t="str">
        <x:v>1</x:v>
      </x:c>
      <x:c r="J93" s="11" t="str"/>
      <x:c r="K93" s="11" t="str"/>
      <x:c r="L93" s="11" t="str">
        <x:v>https://zenodo.org/records/19130313</x:v>
      </x:c>
    </x:row>
    <x:row r="94">
      <x:c r="A94" s="11" t="str">
        <x:v>zenodo</x:v>
      </x:c>
      <x:c r="B94" s="11" t="str">
        <x:v>10.5281/zenodo.19130228</x:v>
      </x:c>
      <x:c r="C94" s="11" t="str">
        <x:v>Universal Axiom of Primitive Bifurcation and Orthogonal Articulation</x:v>
      </x:c>
      <x:c r="D94" s="11" t="str">
        <x:v>2026-03-20</x:v>
      </x:c>
      <x:c r="E94" s="11" t="str">
        <x:v>18</x:v>
      </x:c>
      <x:c r="F94" s="11" t="str">
        <x:v>18</x:v>
      </x:c>
      <x:c r="G94" s="11" t="str">
        <x:v>12</x:v>
      </x:c>
      <x:c r="H94" s="11" t="str">
        <x:v>12</x:v>
      </x:c>
      <x:c r="I94" s="11" t="str">
        <x:v>1</x:v>
      </x:c>
      <x:c r="J94" s="11" t="str"/>
      <x:c r="K94" s="11" t="str"/>
      <x:c r="L94" s="11" t="str">
        <x:v>https://zenodo.org/records/19130228</x:v>
      </x:c>
    </x:row>
    <x:row r="95">
      <x:c r="A95" s="11" t="str">
        <x:v>zenodo</x:v>
      </x:c>
      <x:c r="B95" s="11" t="str">
        <x:v>10.5281/zenodo.19129390</x:v>
      </x:c>
      <x:c r="C95" s="11" t="str">
        <x:v>Universal Axiom of Primitive Bifurcation and Orthogonal Articulation</x:v>
      </x:c>
      <x:c r="D95" s="11" t="str">
        <x:v>2026-03-19</x:v>
      </x:c>
      <x:c r="E95" s="11" t="str">
        <x:v>9</x:v>
      </x:c>
      <x:c r="F95" s="11" t="str">
        <x:v>9</x:v>
      </x:c>
      <x:c r="G95" s="11" t="str">
        <x:v>6</x:v>
      </x:c>
      <x:c r="H95" s="11" t="str">
        <x:v>6</x:v>
      </x:c>
      <x:c r="I95" s="11" t="str">
        <x:v>1</x:v>
      </x:c>
      <x:c r="J95" s="11" t="str"/>
      <x:c r="K95" s="11" t="str"/>
      <x:c r="L95" s="11" t="str">
        <x:v>https://zenodo.org/records/19129390</x:v>
      </x:c>
    </x:row>
    <x:row r="96">
      <x:c r="A96" s="11" t="str">
        <x:v>zenodo</x:v>
      </x:c>
      <x:c r="B96" s="11" t="str">
        <x:v>10.5281/zenodo.19128685</x:v>
      </x:c>
      <x:c r="C96" s="11" t="str">
        <x:v>Universal Axiom of Primitive Bifurcation and Orthogonal Articulation</x:v>
      </x:c>
      <x:c r="D96" s="11" t="str">
        <x:v>2026-03-20</x:v>
      </x:c>
      <x:c r="E96" s="11" t="str">
        <x:v>11</x:v>
      </x:c>
      <x:c r="F96" s="11" t="str">
        <x:v>11</x:v>
      </x:c>
      <x:c r="G96" s="11" t="str">
        <x:v>7</x:v>
      </x:c>
      <x:c r="H96" s="11" t="str">
        <x:v>7</x:v>
      </x:c>
      <x:c r="I96" s="11" t="str">
        <x:v>1</x:v>
      </x:c>
      <x:c r="J96" s="11" t="str"/>
      <x:c r="K96" s="11" t="str"/>
      <x:c r="L96" s="11" t="str">
        <x:v>https://zenodo.org/records/19128685</x:v>
      </x:c>
    </x:row>
    <x:row r="97">
      <x:c r="A97" s="11" t="str">
        <x:v>zenodo</x:v>
      </x:c>
      <x:c r="B97" s="11" t="str">
        <x:v>10.5281/zenodo.19124751</x:v>
      </x:c>
      <x:c r="C97" s="11" t="str">
        <x:v>CF08: Spinor Emergence via Domain-Wall Fermions</x:v>
      </x:c>
      <x:c r="D97" s="11" t="str">
        <x:v>2026-03-19</x:v>
      </x:c>
      <x:c r="E97" s="11" t="str">
        <x:v>14</x:v>
      </x:c>
      <x:c r="F97" s="11" t="str">
        <x:v>14</x:v>
      </x:c>
      <x:c r="G97" s="11" t="str">
        <x:v>13</x:v>
      </x:c>
      <x:c r="H97" s="11" t="str">
        <x:v>12</x:v>
      </x:c>
      <x:c r="I97" s="11" t="str">
        <x:v>0.923</x:v>
      </x:c>
      <x:c r="J97" s="11" t="str"/>
      <x:c r="K97" s="11" t="str"/>
      <x:c r="L97" s="11" t="str">
        <x:v>https://zenodo.org/records/19124751</x:v>
      </x:c>
    </x:row>
    <x:row r="98">
      <x:c r="A98" s="11" t="str">
        <x:v>zenodo</x:v>
      </x:c>
      <x:c r="B98" s="11" t="str">
        <x:v>10.5281/zenodo.19124587</x:v>
      </x:c>
      <x:c r="C98" s="11" t="str">
        <x:v>CF00: Induced Geometry and Emergent Dynamics</x:v>
      </x:c>
      <x:c r="D98" s="11" t="str">
        <x:v>2026-03-19</x:v>
      </x:c>
      <x:c r="E98" s="11" t="str">
        <x:v>25</x:v>
      </x:c>
      <x:c r="F98" s="11" t="str">
        <x:v>25</x:v>
      </x:c>
      <x:c r="G98" s="11" t="str">
        <x:v>18</x:v>
      </x:c>
      <x:c r="H98" s="11" t="str">
        <x:v>17</x:v>
      </x:c>
      <x:c r="I98" s="11" t="str">
        <x:v>0.944</x:v>
      </x:c>
      <x:c r="J98" s="11" t="str"/>
      <x:c r="K98" s="11" t="str"/>
      <x:c r="L98" s="11" t="str">
        <x:v>https://zenodo.org/records/19124587</x:v>
      </x:c>
    </x:row>
    <x:row r="99">
      <x:c r="A99" s="11" t="str">
        <x:v>zenodo</x:v>
      </x:c>
      <x:c r="B99" s="11" t="str">
        <x:v>10.5281/zenodo.19124533</x:v>
      </x:c>
      <x:c r="C99" s="11" t="str">
        <x:v>CF13 - π, Transcendence, Chirality, and the Nielsen-Ninomia Obstruction</x:v>
      </x:c>
      <x:c r="D99" s="11" t="str">
        <x:v>2026-03-19</x:v>
      </x:c>
      <x:c r="E99" s="11" t="str">
        <x:v>27</x:v>
      </x:c>
      <x:c r="F99" s="11" t="str">
        <x:v>27</x:v>
      </x:c>
      <x:c r="G99" s="11" t="str">
        <x:v>21</x:v>
      </x:c>
      <x:c r="H99" s="11" t="str">
        <x:v>20</x:v>
      </x:c>
      <x:c r="I99" s="11" t="str">
        <x:v>0.952</x:v>
      </x:c>
      <x:c r="J99" s="11" t="str"/>
      <x:c r="K99" s="11" t="str"/>
      <x:c r="L99" s="11" t="str">
        <x:v>https://zenodo.org/records/19124533</x:v>
      </x:c>
    </x:row>
    <x:row r="100">
      <x:c r="A100" s="11" t="str">
        <x:v>zenodo</x:v>
      </x:c>
      <x:c r="B100" s="11" t="str">
        <x:v>10.5281/zenodo.19122763</x:v>
      </x:c>
      <x:c r="C100" s="11" t="str">
        <x:v>CF08: Spinor Emergence via Domain-Wall Fermions</x:v>
      </x:c>
      <x:c r="D100" s="11" t="str">
        <x:v>2026-03-19</x:v>
      </x:c>
      <x:c r="E100" s="11" t="str">
        <x:v>12</x:v>
      </x:c>
      <x:c r="F100" s="11" t="str">
        <x:v>12</x:v>
      </x:c>
      <x:c r="G100" s="11" t="str">
        <x:v>9</x:v>
      </x:c>
      <x:c r="H100" s="11" t="str">
        <x:v>9</x:v>
      </x:c>
      <x:c r="I100" s="11" t="str">
        <x:v>1</x:v>
      </x:c>
      <x:c r="J100" s="11" t="str"/>
      <x:c r="K100" s="11" t="str"/>
      <x:c r="L100" s="11" t="str">
        <x:v>https://zenodo.org/records/19122763</x:v>
      </x:c>
    </x:row>
    <x:row r="101">
      <x:c r="A101" s="11" t="str">
        <x:v>zenodo</x:v>
      </x:c>
      <x:c r="B101" s="11" t="str">
        <x:v>10.5281/zenodo.19121368</x:v>
      </x:c>
      <x:c r="C101" s="11" t="str">
        <x:v>CF13 - π, Transcendence, Chirality, and the Nielsen-Ninomia Obstruction</x:v>
      </x:c>
      <x:c r="D101" s="11" t="str">
        <x:v>2026-03-19</x:v>
      </x:c>
      <x:c r="E101" s="11" t="str">
        <x:v>13</x:v>
      </x:c>
      <x:c r="F101" s="11" t="str">
        <x:v>13</x:v>
      </x:c>
      <x:c r="G101" s="11" t="str">
        <x:v>10</x:v>
      </x:c>
      <x:c r="H101" s="11" t="str">
        <x:v>10</x:v>
      </x:c>
      <x:c r="I101" s="11" t="str">
        <x:v>1</x:v>
      </x:c>
      <x:c r="J101" s="11" t="str"/>
      <x:c r="K101" s="11" t="str"/>
      <x:c r="L101" s="11" t="str">
        <x:v>https://zenodo.org/records/19121368</x:v>
      </x:c>
    </x:row>
    <x:row r="102">
      <x:c r="A102" s="11" t="str">
        <x:v>zenodo</x:v>
      </x:c>
      <x:c r="B102" s="11" t="str">
        <x:v>10.5281/zenodo.19121111</x:v>
      </x:c>
      <x:c r="C102" s="11" t="str">
        <x:v>CF13 - π, Transcendence, Chirality, and the Nielsen-Ninomia Obstruction</x:v>
      </x:c>
      <x:c r="D102" s="11" t="str">
        <x:v>2026-03-19</x:v>
      </x:c>
      <x:c r="E102" s="11" t="str">
        <x:v>13</x:v>
      </x:c>
      <x:c r="F102" s="11" t="str">
        <x:v>13</x:v>
      </x:c>
      <x:c r="G102" s="11" t="str">
        <x:v>8</x:v>
      </x:c>
      <x:c r="H102" s="11" t="str">
        <x:v>8</x:v>
      </x:c>
      <x:c r="I102" s="11" t="str">
        <x:v>1</x:v>
      </x:c>
      <x:c r="J102" s="11" t="str"/>
      <x:c r="K102" s="11" t="str"/>
      <x:c r="L102" s="11" t="str">
        <x:v>https://zenodo.org/records/19121111</x:v>
      </x:c>
    </x:row>
    <x:row r="103">
      <x:c r="A103" s="11" t="str">
        <x:v>zenodo</x:v>
      </x:c>
      <x:c r="B103" s="11" t="str">
        <x:v>10.5281/zenodo.19120806</x:v>
      </x:c>
      <x:c r="C103" s="11" t="str">
        <x:v>CF00: Induced Geometry and Emergent Dynamics</x:v>
      </x:c>
      <x:c r="D103" s="11" t="str">
        <x:v>2026-03-19</x:v>
      </x:c>
      <x:c r="E103" s="11" t="str">
        <x:v>9</x:v>
      </x:c>
      <x:c r="F103" s="11" t="str">
        <x:v>9</x:v>
      </x:c>
      <x:c r="G103" s="11" t="str">
        <x:v>7</x:v>
      </x:c>
      <x:c r="H103" s="11" t="str">
        <x:v>7</x:v>
      </x:c>
      <x:c r="I103" s="11" t="str">
        <x:v>1</x:v>
      </x:c>
      <x:c r="J103" s="11" t="str"/>
      <x:c r="K103" s="11" t="str"/>
      <x:c r="L103" s="11" t="str">
        <x:v>https://zenodo.org/records/19120806</x:v>
      </x:c>
    </x:row>
    <x:row r="104">
      <x:c r="A104" s="11" t="str">
        <x:v>zenodo</x:v>
      </x:c>
      <x:c r="B104" s="11" t="str">
        <x:v>10.5281/zenodo.19120322</x:v>
      </x:c>
      <x:c r="C104" s="11" t="str">
        <x:v>CF13 - π, Transcendence, Chirality, and the Nielsen-Ninomia Obstruction</x:v>
      </x:c>
      <x:c r="D104" s="11" t="str">
        <x:v>2026-03-19</x:v>
      </x:c>
      <x:c r="E104" s="11" t="str">
        <x:v>15</x:v>
      </x:c>
      <x:c r="F104" s="11" t="str">
        <x:v>15</x:v>
      </x:c>
      <x:c r="G104" s="11" t="str">
        <x:v>9</x:v>
      </x:c>
      <x:c r="H104" s="11" t="str">
        <x:v>9</x:v>
      </x:c>
      <x:c r="I104" s="11" t="str">
        <x:v>1</x:v>
      </x:c>
      <x:c r="J104" s="11" t="str"/>
      <x:c r="K104" s="11" t="str"/>
      <x:c r="L104" s="11" t="str">
        <x:v>https://zenodo.org/records/19120322</x:v>
      </x:c>
    </x:row>
    <x:row r="105">
      <x:c r="A105" s="11" t="str">
        <x:v>zenodo</x:v>
      </x:c>
      <x:c r="B105" s="11" t="str">
        <x:v>10.5281/zenodo.19103452</x:v>
      </x:c>
      <x:c r="C105" s="11" t="str">
        <x:v>CF12: Gravity, Black Holes, and Saturation Geometry</x:v>
      </x:c>
      <x:c r="D105" s="11" t="str">
        <x:v>2026-03-19</x:v>
      </x:c>
      <x:c r="E105" s="11" t="str">
        <x:v>20</x:v>
      </x:c>
      <x:c r="F105" s="11" t="str">
        <x:v>18</x:v>
      </x:c>
      <x:c r="G105" s="11" t="str">
        <x:v>12</x:v>
      </x:c>
      <x:c r="H105" s="11" t="str">
        <x:v>10</x:v>
      </x:c>
      <x:c r="I105" s="11" t="str">
        <x:v>0.833</x:v>
      </x:c>
      <x:c r="J105" s="11" t="str"/>
      <x:c r="K105" s="11" t="str"/>
      <x:c r="L105" s="11" t="str">
        <x:v>https://zenodo.org/records/19103452</x:v>
      </x:c>
    </x:row>
    <x:row r="106">
      <x:c r="A106" s="11" t="str">
        <x:v>zenodo</x:v>
      </x:c>
      <x:c r="B106" s="11" t="str">
        <x:v>10.5281/zenodo.19102730</x:v>
      </x:c>
      <x:c r="C106" s="11" t="str">
        <x:v>CF01: Complete Formalism - Quantum Geometric Tensor to Metriplectic Brackets</x:v>
      </x:c>
      <x:c r="D106" s="11" t="str">
        <x:v>2026-03-18</x:v>
      </x:c>
      <x:c r="E106" s="11" t="str">
        <x:v>13</x:v>
      </x:c>
      <x:c r="F106" s="11" t="str">
        <x:v>13</x:v>
      </x:c>
      <x:c r="G106" s="11" t="str">
        <x:v>8</x:v>
      </x:c>
      <x:c r="H106" s="11" t="str">
        <x:v>7</x:v>
      </x:c>
      <x:c r="I106" s="11" t="str">
        <x:v>0.875</x:v>
      </x:c>
      <x:c r="J106" s="11" t="str"/>
      <x:c r="K106" s="11" t="str"/>
      <x:c r="L106" s="11" t="str">
        <x:v>https://zenodo.org/records/19102730</x:v>
      </x:c>
    </x:row>
    <x:row r="107">
      <x:c r="A107" s="11" t="str">
        <x:v>zenodo</x:v>
      </x:c>
      <x:c r="B107" s="11" t="str">
        <x:v>10.5281/zenodo.19099916</x:v>
      </x:c>
      <x:c r="C107" s="11" t="str">
        <x:v>Induced Geometry and Emergent Dynamics</x:v>
      </x:c>
      <x:c r="D107" s="11" t="str">
        <x:v>2026-03-18</x:v>
      </x:c>
      <x:c r="E107" s="11" t="str">
        <x:v>15</x:v>
      </x:c>
      <x:c r="F107" s="11" t="str">
        <x:v>15</x:v>
      </x:c>
      <x:c r="G107" s="11" t="str">
        <x:v>8</x:v>
      </x:c>
      <x:c r="H107" s="11" t="str">
        <x:v>7</x:v>
      </x:c>
      <x:c r="I107" s="11" t="str">
        <x:v>0.875</x:v>
      </x:c>
      <x:c r="J107" s="11" t="str"/>
      <x:c r="K107" s="11" t="str"/>
      <x:c r="L107" s="11" t="str">
        <x:v>https://zenodo.org/records/19099916</x:v>
      </x:c>
    </x:row>
    <x:row r="108">
      <x:c r="A108" s="11" t="str">
        <x:v>zenodo</x:v>
      </x:c>
      <x:c r="B108" s="11" t="str">
        <x:v>10.5281/zenodo.19098778</x:v>
      </x:c>
      <x:c r="C108" s="11" t="str">
        <x:v>CF000: Primitive Distinguishability and Orthogonal Articulation</x:v>
      </x:c>
      <x:c r="D108" s="11" t="str">
        <x:v>2026-03-18</x:v>
      </x:c>
      <x:c r="E108" s="11" t="str">
        <x:v>38</x:v>
      </x:c>
      <x:c r="F108" s="11" t="str">
        <x:v>33</x:v>
      </x:c>
      <x:c r="G108" s="11" t="str">
        <x:v>37</x:v>
      </x:c>
      <x:c r="H108" s="11" t="str">
        <x:v>28</x:v>
      </x:c>
      <x:c r="I108" s="11" t="str">
        <x:v>0.757</x:v>
      </x:c>
      <x:c r="J108" s="11" t="str"/>
      <x:c r="K108" s="11" t="str"/>
      <x:c r="L108" s="11" t="str">
        <x:v>https://zenodo.org/records/19098778</x:v>
      </x:c>
    </x:row>
    <x:row r="109">
      <x:c r="A109" s="11" t="str">
        <x:v>zenodo</x:v>
      </x:c>
      <x:c r="B109" s="11" t="str">
        <x:v>10.5281/zenodo.19097453</x:v>
      </x:c>
      <x:c r="C109" s="11" t="str">
        <x:v>Primitive Distinguishability and the Origin of Differentiability</x:v>
      </x:c>
      <x:c r="D109" s="11" t="str">
        <x:v>2026-03-18</x:v>
      </x:c>
      <x:c r="E109" s="11" t="str">
        <x:v>17</x:v>
      </x:c>
      <x:c r="F109" s="11" t="str">
        <x:v>17</x:v>
      </x:c>
      <x:c r="G109" s="11" t="str">
        <x:v>13</x:v>
      </x:c>
      <x:c r="H109" s="11" t="str">
        <x:v>12</x:v>
      </x:c>
      <x:c r="I109" s="11" t="str">
        <x:v>0.923</x:v>
      </x:c>
      <x:c r="J109" s="11" t="str"/>
      <x:c r="K109" s="11" t="str"/>
      <x:c r="L109" s="11" t="str">
        <x:v>https://zenodo.org/records/19097453</x:v>
      </x:c>
    </x:row>
    <x:row r="110">
      <x:c r="A110" s="11" t="str">
        <x:v>zenodo</x:v>
      </x:c>
      <x:c r="B110" s="11" t="str">
        <x:v>10.5281/zenodo.19097305</x:v>
      </x:c>
      <x:c r="C110" s="11" t="str">
        <x:v>Primitive Distinguishability and the Origin of Differentiability</x:v>
      </x:c>
      <x:c r="D110" s="11" t="str">
        <x:v>2026-03-18</x:v>
      </x:c>
      <x:c r="E110" s="11" t="str">
        <x:v>38</x:v>
      </x:c>
      <x:c r="F110" s="11" t="str">
        <x:v>35</x:v>
      </x:c>
      <x:c r="G110" s="11" t="str">
        <x:v>23</x:v>
      </x:c>
      <x:c r="H110" s="11" t="str">
        <x:v>19</x:v>
      </x:c>
      <x:c r="I110" s="11" t="str">
        <x:v>0.826</x:v>
      </x:c>
      <x:c r="J110" s="11" t="str"/>
      <x:c r="K110" s="11" t="str"/>
      <x:c r="L110" s="11" t="str">
        <x:v>https://zenodo.org/records/19097305</x:v>
      </x:c>
    </x:row>
    <x:row r="111">
      <x:c r="A111" s="11" t="str">
        <x:v>zenodo</x:v>
      </x:c>
      <x:c r="B111" s="11" t="str">
        <x:v>10.5281/zenodo.19043188</x:v>
      </x:c>
      <x:c r="C111" s="11" t="str">
        <x:v>DRAFT Convergent Anomalous Signatures in an Emergent Zero-Trained Cognitive Runtime</x:v>
      </x:c>
      <x:c r="D111" s="11" t="str">
        <x:v>2026-03-16</x:v>
      </x:c>
      <x:c r="E111" s="11" t="str">
        <x:v>61</x:v>
      </x:c>
      <x:c r="F111" s="11" t="str">
        <x:v>57</x:v>
      </x:c>
      <x:c r="G111" s="11" t="str">
        <x:v>67</x:v>
      </x:c>
      <x:c r="H111" s="11" t="str">
        <x:v>59</x:v>
      </x:c>
      <x:c r="I111" s="11" t="str">
        <x:v>0.881</x:v>
      </x:c>
      <x:c r="J111" s="11" t="str"/>
      <x:c r="K111" s="11" t="str"/>
      <x:c r="L111" s="11" t="str">
        <x:v>https://zenodo.org/records/19043188</x:v>
      </x:c>
    </x:row>
    <x:row r="112">
      <x:c r="A112" s="11" t="str">
        <x:v>zenodo</x:v>
      </x:c>
      <x:c r="B112" s="11" t="str">
        <x:v>10.5281/zenodo.19010844</x:v>
      </x:c>
      <x:c r="C112" s="11" t="str">
        <x:v>Branch Relative Origin Resolution</x:v>
      </x:c>
      <x:c r="D112" s="11" t="str">
        <x:v>2026-03-14</x:v>
      </x:c>
      <x:c r="E112" s="11" t="str">
        <x:v>85</x:v>
      </x:c>
      <x:c r="F112" s="11" t="str">
        <x:v>83</x:v>
      </x:c>
      <x:c r="G112" s="11" t="str">
        <x:v>46</x:v>
      </x:c>
      <x:c r="H112" s="11" t="str">
        <x:v>43</x:v>
      </x:c>
      <x:c r="I112" s="11" t="str">
        <x:v>0.935</x:v>
      </x:c>
      <x:c r="J112" s="11" t="str"/>
      <x:c r="K112" s="11" t="str"/>
      <x:c r="L112" s="11" t="str">
        <x:v>https://zenodo.org/records/19010844</x:v>
      </x:c>
    </x:row>
    <x:row r="113">
      <x:c r="A113" s="11" t="str">
        <x:v>zenodo</x:v>
      </x:c>
      <x:c r="B113" s="11" t="str">
        <x:v>10.5281/zenodo.19009927</x:v>
      </x:c>
      <x:c r="C113" s="11" t="str">
        <x:v>H000: Primitive Bifurcation As A Minimal Generative Origin For Distinguishability, Hierarchy, And Carrier Emergence</x:v>
      </x:c>
      <x:c r="D113" s="11" t="str">
        <x:v>2026-03-13</x:v>
      </x:c>
      <x:c r="E113" s="11" t="str">
        <x:v>81</x:v>
      </x:c>
      <x:c r="F113" s="11" t="str">
        <x:v>79</x:v>
      </x:c>
      <x:c r="G113" s="11" t="str">
        <x:v>44</x:v>
      </x:c>
      <x:c r="H113" s="11" t="str">
        <x:v>40</x:v>
      </x:c>
      <x:c r="I113" s="11" t="str">
        <x:v>0.909</x:v>
      </x:c>
      <x:c r="J113" s="11" t="str"/>
      <x:c r="K113" s="11" t="str"/>
      <x:c r="L113" s="11" t="str">
        <x:v>https://zenodo.org/records/19009927</x:v>
      </x:c>
    </x:row>
    <x:row r="114">
      <x:c r="A114" s="11" t="str">
        <x:v>zenodo</x:v>
      </x:c>
      <x:c r="B114" s="11" t="str">
        <x:v>10.5281/zenodo.18897151</x:v>
      </x:c>
      <x:c r="C114" s="11" t="str">
        <x:v>Void Lensing Cross-Correlation Meter v1: Synthetic Mocks Calibration and Mocks-Grid Tuning</x:v>
      </x:c>
      <x:c r="D114" s="11" t="str">
        <x:v>2026-03-07</x:v>
      </x:c>
      <x:c r="E114" s="11" t="str">
        <x:v>35</x:v>
      </x:c>
      <x:c r="F114" s="11" t="str">
        <x:v>32</x:v>
      </x:c>
      <x:c r="G114" s="11" t="str">
        <x:v>40</x:v>
      </x:c>
      <x:c r="H114" s="11" t="str">
        <x:v>39</x:v>
      </x:c>
      <x:c r="I114" s="11" t="str">
        <x:v>0.975</x:v>
      </x:c>
      <x:c r="J114" s="11" t="str"/>
      <x:c r="K114" s="11" t="str"/>
      <x:c r="L114" s="11" t="str">
        <x:v>https://zenodo.org/records/18897151</x:v>
      </x:c>
    </x:row>
    <x:row r="115">
      <x:c r="A115" s="11" t="str">
        <x:v>zenodo</x:v>
      </x:c>
      <x:c r="B115" s="11" t="str">
        <x:v>10.5281/zenodo.18895523</x:v>
      </x:c>
      <x:c r="C115" s="11" t="str">
        <x:v>VDM Cosmogenesis Runtime (v9)</x:v>
      </x:c>
      <x:c r="D115" s="11" t="str">
        <x:v>2026-03-06</x:v>
      </x:c>
      <x:c r="E115" s="11" t="str">
        <x:v>28</x:v>
      </x:c>
      <x:c r="F115" s="11" t="str">
        <x:v>28</x:v>
      </x:c>
      <x:c r="G115" s="11" t="str">
        <x:v>0</x:v>
      </x:c>
      <x:c r="H115" s="11" t="str">
        <x:v>0</x:v>
      </x:c>
      <x:c r="I115" s="11" t="str"/>
      <x:c r="J115" s="11" t="str"/>
      <x:c r="K115" s="11" t="str"/>
      <x:c r="L115" s="11" t="str">
        <x:v>https://zenodo.org/records/18895523</x:v>
      </x:c>
    </x:row>
    <x:row r="116">
      <x:c r="A116" s="11" t="str">
        <x:v>zenodo</x:v>
      </x:c>
      <x:c r="B116" s="11" t="str">
        <x:v>10.5281/zenodo.18749264</x:v>
      </x:c>
      <x:c r="C116" s="11" t="str">
        <x:v>Aura - Embodied VDM</x:v>
      </x:c>
      <x:c r="D116" s="11" t="str">
        <x:v>2026-02-23</x:v>
      </x:c>
      <x:c r="E116" s="11" t="str">
        <x:v>12</x:v>
      </x:c>
      <x:c r="F116" s="11" t="str">
        <x:v>12</x:v>
      </x:c>
      <x:c r="G116" s="11" t="str">
        <x:v>2</x:v>
      </x:c>
      <x:c r="H116" s="11" t="str">
        <x:v>2</x:v>
      </x:c>
      <x:c r="I116" s="11" t="str">
        <x:v>1</x:v>
      </x:c>
      <x:c r="J116" s="11" t="str"/>
      <x:c r="K116" s="11" t="str"/>
      <x:c r="L116" s="11" t="str">
        <x:v>https://zenodo.org/records/18749264</x:v>
      </x:c>
    </x:row>
    <x:row r="117">
      <x:c r="A117" s="11" t="str">
        <x:v>zenodo</x:v>
      </x:c>
      <x:c r="B117" s="11" t="str">
        <x:v>10.5281/zenodo.18726601</x:v>
      </x:c>
      <x:c r="C117" s="11" t="str">
        <x:v>Causal Density Dynamics and Markov Entropy in Artificial Cognition</x:v>
      </x:c>
      <x:c r="D117" s="11" t="str">
        <x:v>2026-02-21</x:v>
      </x:c>
      <x:c r="E117" s="11" t="str">
        <x:v>63</x:v>
      </x:c>
      <x:c r="F117" s="11" t="str">
        <x:v>60</x:v>
      </x:c>
      <x:c r="G117" s="11" t="str">
        <x:v>38</x:v>
      </x:c>
      <x:c r="H117" s="11" t="str">
        <x:v>32</x:v>
      </x:c>
      <x:c r="I117" s="11" t="str">
        <x:v>0.842</x:v>
      </x:c>
      <x:c r="J117" s="11" t="str"/>
      <x:c r="K117" s="11" t="str"/>
      <x:c r="L117" s="11" t="str">
        <x:v>https://zenodo.org/records/18726601</x:v>
      </x:c>
    </x:row>
    <x:row r="118">
      <x:c r="A118" s="11" t="str">
        <x:v>zenodo</x:v>
      </x:c>
      <x:c r="B118" s="11" t="str">
        <x:v>10.5281/zenodo.18726328</x:v>
      </x:c>
      <x:c r="C118" s="11" t="str">
        <x:v>Phase Transitions and Metastable Regimes in Real-Time Cognitive Connectomes</x:v>
      </x:c>
      <x:c r="D118" s="11" t="str">
        <x:v>2026-02-21</x:v>
      </x:c>
      <x:c r="E118" s="11" t="str">
        <x:v>48</x:v>
      </x:c>
      <x:c r="F118" s="11" t="str">
        <x:v>48</x:v>
      </x:c>
      <x:c r="G118" s="11" t="str">
        <x:v>42</x:v>
      </x:c>
      <x:c r="H118" s="11" t="str">
        <x:v>35</x:v>
      </x:c>
      <x:c r="I118" s="11" t="str">
        <x:v>0.833</x:v>
      </x:c>
      <x:c r="J118" s="11" t="str"/>
      <x:c r="K118" s="11" t="str"/>
      <x:c r="L118" s="11" t="str">
        <x:v>https://zenodo.org/records/18726328</x:v>
      </x:c>
    </x:row>
    <x:row r="119">
      <x:c r="A119" s="11" t="str">
        <x:v>zenodo</x:v>
      </x:c>
      <x:c r="B119" s="11" t="str">
        <x:v>10.5281/zenodo.18725951</x:v>
      </x:c>
      <x:c r="C119" s="11" t="str">
        <x:v>Integration–Segregation Balance in Zero-Training Cognitive Regimes: Total Correlation, O-information, and MIP Structure</x:v>
      </x:c>
      <x:c r="D119" s="11" t="str">
        <x:v>2026-02-21</x:v>
      </x:c>
      <x:c r="E119" s="11" t="str">
        <x:v>33</x:v>
      </x:c>
      <x:c r="F119" s="11" t="str">
        <x:v>33</x:v>
      </x:c>
      <x:c r="G119" s="11" t="str">
        <x:v>27</x:v>
      </x:c>
      <x:c r="H119" s="11" t="str">
        <x:v>25</x:v>
      </x:c>
      <x:c r="I119" s="11" t="str">
        <x:v>0.926</x:v>
      </x:c>
      <x:c r="J119" s="11" t="str"/>
      <x:c r="K119" s="11" t="str"/>
      <x:c r="L119" s="11" t="str">
        <x:v>https://zenodo.org/records/18725951</x:v>
      </x:c>
    </x:row>
    <x:row r="120">
      <x:c r="A120" s="11" t="str">
        <x:v>zenodo</x:v>
      </x:c>
      <x:c r="B120" s="11" t="str">
        <x:v>10.5281/zenodo.18725612</x:v>
      </x:c>
      <x:c r="C120" s="11" t="str">
        <x:v>Emergent Criticality and Avalanche Scaling in Non-Trained Cognitive Firing Patterns</x:v>
      </x:c>
      <x:c r="D120" s="11" t="str">
        <x:v>2026-02-21</x:v>
      </x:c>
      <x:c r="E120" s="11" t="str">
        <x:v>50</x:v>
      </x:c>
      <x:c r="F120" s="11" t="str">
        <x:v>49</x:v>
      </x:c>
      <x:c r="G120" s="11" t="str">
        <x:v>37</x:v>
      </x:c>
      <x:c r="H120" s="11" t="str">
        <x:v>35</x:v>
      </x:c>
      <x:c r="I120" s="11" t="str">
        <x:v>0.946</x:v>
      </x:c>
      <x:c r="J120" s="11" t="str"/>
      <x:c r="K120" s="11" t="str"/>
      <x:c r="L120" s="11" t="str">
        <x:v>https://zenodo.org/records/18725612</x:v>
      </x:c>
    </x:row>
    <x:row r="121">
      <x:c r="A121" s="11" t="str">
        <x:v>zenodo</x:v>
      </x:c>
      <x:c r="B121" s="11" t="str">
        <x:v>10.5281/zenodo.18724646</x:v>
      </x:c>
      <x:c r="C121" s="11" t="str">
        <x:v>Complexity Metric Dashboards for Artificial Consciousness: A Multi-Measure Instrument for Real-Time Cognitive Runtimes</x:v>
      </x:c>
      <x:c r="D121" s="11" t="str">
        <x:v>2026-02-21</x:v>
      </x:c>
      <x:c r="E121" s="11" t="str">
        <x:v>58</x:v>
      </x:c>
      <x:c r="F121" s="11" t="str">
        <x:v>57</x:v>
      </x:c>
      <x:c r="G121" s="11" t="str">
        <x:v>29</x:v>
      </x:c>
      <x:c r="H121" s="11" t="str">
        <x:v>28</x:v>
      </x:c>
      <x:c r="I121" s="11" t="str">
        <x:v>0.966</x:v>
      </x:c>
      <x:c r="J121" s="11" t="str"/>
      <x:c r="K121" s="11" t="str"/>
      <x:c r="L121" s="11" t="str">
        <x:v>https://zenodo.org/records/18724646</x:v>
      </x:c>
    </x:row>
    <x:row r="122">
      <x:c r="A122" s="11" t="str">
        <x:v>zenodo</x:v>
      </x:c>
      <x:c r="B122" s="11" t="str">
        <x:v>10.5281/zenodo.18723892</x:v>
      </x:c>
      <x:c r="C122" s="11" t="str">
        <x:v>Dynamic Phase-Space Signatures and Principal-Component Shifts Across Cognitive Regimes in a Zero-Training Runtime</x:v>
      </x:c>
      <x:c r="D122" s="11" t="str">
        <x:v>2026-02-21</x:v>
      </x:c>
      <x:c r="E122" s="11" t="str">
        <x:v>36</x:v>
      </x:c>
      <x:c r="F122" s="11" t="str">
        <x:v>34</x:v>
      </x:c>
      <x:c r="G122" s="11" t="str">
        <x:v>37</x:v>
      </x:c>
      <x:c r="H122" s="11" t="str">
        <x:v>31</x:v>
      </x:c>
      <x:c r="I122" s="11" t="str">
        <x:v>0.838</x:v>
      </x:c>
      <x:c r="J122" s="11" t="str"/>
      <x:c r="K122" s="11" t="str"/>
      <x:c r="L122" s="11" t="str">
        <x:v>https://zenodo.org/records/18723892</x:v>
      </x:c>
    </x:row>
    <x:row r="123">
      <x:c r="A123" s="11" t="str">
        <x:v>zenodo</x:v>
      </x:c>
      <x:c r="B123" s="11" t="str">
        <x:v>10.5281/zenodo.18707220</x:v>
      </x:c>
      <x:c r="C123" s="11" t="str">
        <x:v>Predictive Feature Architectures For Self-Supervised Say-Events in VDM</x:v>
      </x:c>
      <x:c r="D123" s="11" t="str">
        <x:v>2026-02-20</x:v>
      </x:c>
      <x:c r="E123" s="11" t="str">
        <x:v>35</x:v>
      </x:c>
      <x:c r="F123" s="11" t="str">
        <x:v>33</x:v>
      </x:c>
      <x:c r="G123" s="11" t="str">
        <x:v>18</x:v>
      </x:c>
      <x:c r="H123" s="11" t="str">
        <x:v>15</x:v>
      </x:c>
      <x:c r="I123" s="11" t="str">
        <x:v>0.833</x:v>
      </x:c>
      <x:c r="J123" s="11" t="str"/>
      <x:c r="K123" s="11" t="str"/>
      <x:c r="L123" s="11" t="str">
        <x:v>https://zenodo.org/records/18707220</x:v>
      </x:c>
    </x:row>
    <x:row r="124">
      <x:c r="A124" s="11" t="str">
        <x:v>zenodo</x:v>
      </x:c>
      <x:c r="B124" s="11" t="str">
        <x:v>10.5281/zenodo.18706821</x:v>
      </x:c>
      <x:c r="C124" s="11" t="str">
        <x:v>Four Independent Complex-Adaptive Signatures From A Structurally-Plastic Connectome Run</x:v>
      </x:c>
      <x:c r="D124" s="11" t="str">
        <x:v>2026-02-19</x:v>
      </x:c>
      <x:c r="E124" s="11" t="str">
        <x:v>80</x:v>
      </x:c>
      <x:c r="F124" s="11" t="str">
        <x:v>75</x:v>
      </x:c>
      <x:c r="G124" s="11" t="str">
        <x:v>64</x:v>
      </x:c>
      <x:c r="H124" s="11" t="str">
        <x:v>53</x:v>
      </x:c>
      <x:c r="I124" s="11" t="str">
        <x:v>0.828</x:v>
      </x:c>
      <x:c r="J124" s="11" t="str"/>
      <x:c r="K124" s="11" t="str"/>
      <x:c r="L124" s="11" t="str">
        <x:v>https://zenodo.org/records/18706821</x:v>
      </x:c>
    </x:row>
    <x:row r="125">
      <x:c r="A125" s="11" t="str">
        <x:v>zenodo</x:v>
      </x:c>
      <x:c r="B125" s="11" t="str">
        <x:v>10.5281/zenodo.18702788</x:v>
      </x:c>
      <x:c r="C125" s="11" t="str">
        <x:v>VDM Runtime Results: Four Offline Proofs From A Structurally-Plastic Connectome Run</x:v>
      </x:c>
      <x:c r="D125" s="11" t="str">
        <x:v>2026-02-19</x:v>
      </x:c>
      <x:c r="E125" s="11" t="str">
        <x:v>29</x:v>
      </x:c>
      <x:c r="F125" s="11" t="str">
        <x:v>26</x:v>
      </x:c>
      <x:c r="G125" s="11" t="str">
        <x:v>30</x:v>
      </x:c>
      <x:c r="H125" s="11" t="str">
        <x:v>27</x:v>
      </x:c>
      <x:c r="I125" s="11" t="str">
        <x:v>0.9</x:v>
      </x:c>
      <x:c r="J125" s="11" t="str"/>
      <x:c r="K125" s="11" t="str"/>
      <x:c r="L125" s="11" t="str">
        <x:v>https://zenodo.org/records/18702788</x:v>
      </x:c>
    </x:row>
    <x:row r="126">
      <x:c r="A126" s="11" t="str">
        <x:v>zenodo</x:v>
      </x:c>
      <x:c r="B126" s="11" t="str">
        <x:v>10.5281/zenodo.18676468</x:v>
      </x:c>
      <x:c r="C126" s="11" t="str">
        <x:v>CF11: Dark Sector Emergence from Metriplectic Dynamics</x:v>
      </x:c>
      <x:c r="D126" s="11" t="str">
        <x:v>2026-02-17</x:v>
      </x:c>
      <x:c r="E126" s="11" t="str">
        <x:v>24</x:v>
      </x:c>
      <x:c r="F126" s="11" t="str">
        <x:v>23</x:v>
      </x:c>
      <x:c r="G126" s="11" t="str">
        <x:v>24</x:v>
      </x:c>
      <x:c r="H126" s="11" t="str">
        <x:v>21</x:v>
      </x:c>
      <x:c r="I126" s="11" t="str">
        <x:v>0.875</x:v>
      </x:c>
      <x:c r="J126" s="11" t="str"/>
      <x:c r="K126" s="11" t="str"/>
      <x:c r="L126" s="11" t="str">
        <x:v>https://zenodo.org/records/18676468</x:v>
      </x:c>
    </x:row>
    <x:row r="127">
      <x:c r="A127" s="11" t="str">
        <x:v>zenodo</x:v>
      </x:c>
      <x:c r="B127" s="11" t="str">
        <x:v>10.5281/zenodo.18676423</x:v>
      </x:c>
      <x:c r="C127" s="11" t="str">
        <x:v>CF10: VDM Lattice Hydrodynamics, Continuum Limit, and Regularity Program</x:v>
      </x:c>
      <x:c r="D127" s="11" t="str">
        <x:v>2026-02-17</x:v>
      </x:c>
      <x:c r="E127" s="11" t="str">
        <x:v>25</x:v>
      </x:c>
      <x:c r="F127" s="11" t="str">
        <x:v>23</x:v>
      </x:c>
      <x:c r="G127" s="11" t="str">
        <x:v>20</x:v>
      </x:c>
      <x:c r="H127" s="11" t="str">
        <x:v>19</x:v>
      </x:c>
      <x:c r="I127" s="11" t="str">
        <x:v>0.95</x:v>
      </x:c>
      <x:c r="J127" s="11" t="str"/>
      <x:c r="K127" s="11" t="str"/>
      <x:c r="L127" s="11" t="str">
        <x:v>https://zenodo.org/records/18676423</x:v>
      </x:c>
    </x:row>
    <x:row r="128">
      <x:c r="A128" s="11" t="str">
        <x:v>zenodo</x:v>
      </x:c>
      <x:c r="B128" s="11" t="str">
        <x:v>10.5281/zenodo.18676231</x:v>
      </x:c>
      <x:c r="C128" s="11" t="str">
        <x:v>CF09: Gauge Field Emergence via Berry Connection in VDM</x:v>
      </x:c>
      <x:c r="D128" s="11" t="str">
        <x:v>2026-02-17</x:v>
      </x:c>
      <x:c r="E128" s="11" t="str">
        <x:v>24</x:v>
      </x:c>
      <x:c r="F128" s="11" t="str">
        <x:v>21</x:v>
      </x:c>
      <x:c r="G128" s="11" t="str">
        <x:v>30</x:v>
      </x:c>
      <x:c r="H128" s="11" t="str">
        <x:v>27</x:v>
      </x:c>
      <x:c r="I128" s="11" t="str">
        <x:v>0.9</x:v>
      </x:c>
      <x:c r="J128" s="11" t="str"/>
      <x:c r="K128" s="11" t="str"/>
      <x:c r="L128" s="11" t="str">
        <x:v>https://zenodo.org/records/18676231</x:v>
      </x:c>
    </x:row>
    <x:row r="129">
      <x:c r="A129" s="11" t="str">
        <x:v>zenodo</x:v>
      </x:c>
      <x:c r="B129" s="11" t="str">
        <x:v>10.5281/zenodo.18676137</x:v>
      </x:c>
      <x:c r="C129" s="11" t="str">
        <x:v>CF08: Spinor Emergence via Domain-Wall Fermions in VDM</x:v>
      </x:c>
      <x:c r="D129" s="11" t="str">
        <x:v>2026-02-17</x:v>
      </x:c>
      <x:c r="E129" s="11" t="str">
        <x:v>21</x:v>
      </x:c>
      <x:c r="F129" s="11" t="str">
        <x:v>19</x:v>
      </x:c>
      <x:c r="G129" s="11" t="str">
        <x:v>19</x:v>
      </x:c>
      <x:c r="H129" s="11" t="str">
        <x:v>17</x:v>
      </x:c>
      <x:c r="I129" s="11" t="str">
        <x:v>0.895</x:v>
      </x:c>
      <x:c r="J129" s="11" t="str"/>
      <x:c r="K129" s="11" t="str"/>
      <x:c r="L129" s="11" t="str">
        <x:v>https://zenodo.org/records/18676137</x:v>
      </x:c>
    </x:row>
    <x:row r="130">
      <x:c r="A130" s="11" t="str">
        <x:v>zenodo</x:v>
      </x:c>
      <x:c r="B130" s="11" t="str">
        <x:v>10.5281/zenodo.18676091</x:v>
      </x:c>
      <x:c r="C130" s="11" t="str">
        <x:v>CF07: Measurement Theory Foundations — Decoherence and Born Rule for VDM</x:v>
      </x:c>
      <x:c r="D130" s="11" t="str">
        <x:v>2026-02-17</x:v>
      </x:c>
      <x:c r="E130" s="11" t="str">
        <x:v>34</x:v>
      </x:c>
      <x:c r="F130" s="11" t="str">
        <x:v>33</x:v>
      </x:c>
      <x:c r="G130" s="11" t="str">
        <x:v>18</x:v>
      </x:c>
      <x:c r="H130" s="11" t="str">
        <x:v>18</x:v>
      </x:c>
      <x:c r="I130" s="11" t="str">
        <x:v>1</x:v>
      </x:c>
      <x:c r="J130" s="11" t="str"/>
      <x:c r="K130" s="11" t="str"/>
      <x:c r="L130" s="11" t="str">
        <x:v>https://zenodo.org/records/18676091</x:v>
      </x:c>
    </x:row>
    <x:row r="131">
      <x:c r="A131" s="11" t="str">
        <x:v>zenodo</x:v>
      </x:c>
      <x:c r="B131" s="11" t="str">
        <x:v>10.5281/zenodo.18675861</x:v>
      </x:c>
      <x:c r="C131" s="11" t="str">
        <x:v>CF06: Information Geometry Foundations — Fisher and Ruppeiner Metrics for VDM M-Limb</x:v>
      </x:c>
      <x:c r="D131" s="11" t="str">
        <x:v>2026-02-17</x:v>
      </x:c>
      <x:c r="E131" s="11" t="str">
        <x:v>28</x:v>
      </x:c>
      <x:c r="F131" s="11" t="str">
        <x:v>26</x:v>
      </x:c>
      <x:c r="G131" s="11" t="str">
        <x:v>24</x:v>
      </x:c>
      <x:c r="H131" s="11" t="str">
        <x:v>20</x:v>
      </x:c>
      <x:c r="I131" s="11" t="str">
        <x:v>0.833</x:v>
      </x:c>
      <x:c r="J131" s="11" t="str"/>
      <x:c r="K131" s="11" t="str"/>
      <x:c r="L131" s="11" t="str">
        <x:v>https://zenodo.org/records/18675861</x:v>
      </x:c>
    </x:row>
    <x:row r="132">
      <x:c r="A132" s="11" t="str">
        <x:v>zenodo</x:v>
      </x:c>
      <x:c r="B132" s="11" t="str">
        <x:v>10.5281/zenodo.18675786</x:v>
      </x:c>
      <x:c r="C132" s="11" t="str">
        <x:v>CF05: Complete Formalism — Integrability Closure (No Hidden Conserved Quantities)</x:v>
      </x:c>
      <x:c r="D132" s="11" t="str">
        <x:v>2026-02-17</x:v>
      </x:c>
      <x:c r="E132" s="11" t="str">
        <x:v>30</x:v>
      </x:c>
      <x:c r="F132" s="11" t="str">
        <x:v>25</x:v>
      </x:c>
      <x:c r="G132" s="11" t="str">
        <x:v>27</x:v>
      </x:c>
      <x:c r="H132" s="11" t="str">
        <x:v>23</x:v>
      </x:c>
      <x:c r="I132" s="11" t="str">
        <x:v>0.852</x:v>
      </x:c>
      <x:c r="J132" s="11" t="str"/>
      <x:c r="K132" s="11" t="str"/>
      <x:c r="L132" s="11" t="str">
        <x:v>https://zenodo.org/records/18675786</x:v>
      </x:c>
    </x:row>
    <x:row r="133">
      <x:c r="A133" s="11" t="str">
        <x:v>zenodo</x:v>
      </x:c>
      <x:c r="B133" s="11" t="str">
        <x:v>10.5281/zenodo.18675565</x:v>
      </x:c>
      <x:c r="C133" s="11" t="str">
        <x:v>CF04: Complete Formalism — Telegraph-Fisher Causality (Finite-Speed Transport)</x:v>
      </x:c>
      <x:c r="D133" s="11" t="str">
        <x:v>2026-02-17</x:v>
      </x:c>
      <x:c r="E133" s="11" t="str">
        <x:v>36</x:v>
      </x:c>
      <x:c r="F133" s="11" t="str">
        <x:v>35</x:v>
      </x:c>
      <x:c r="G133" s="11" t="str">
        <x:v>18</x:v>
      </x:c>
      <x:c r="H133" s="11" t="str">
        <x:v>15</x:v>
      </x:c>
      <x:c r="I133" s="11" t="str">
        <x:v>0.833</x:v>
      </x:c>
      <x:c r="J133" s="11" t="str"/>
      <x:c r="K133" s="11" t="str"/>
      <x:c r="L133" s="11" t="str">
        <x:v>https://zenodo.org/records/18675565</x:v>
      </x:c>
    </x:row>
    <x:row r="134">
      <x:c r="A134" s="11" t="str">
        <x:v>zenodo</x:v>
      </x:c>
      <x:c r="B134" s="11" t="str">
        <x:v>10.5281/zenodo.18675407</x:v>
      </x:c>
      <x:c r="C134" s="11" t="str">
        <x:v>CF03: Complete Formalism — A8 Scaling Theorem (Hierarchical Tachyonic Interfaces)</x:v>
      </x:c>
      <x:c r="D134" s="11" t="str">
        <x:v>2026-02-17</x:v>
      </x:c>
      <x:c r="E134" s="11" t="str">
        <x:v>41</x:v>
      </x:c>
      <x:c r="F134" s="11" t="str">
        <x:v>37</x:v>
      </x:c>
      <x:c r="G134" s="11" t="str">
        <x:v>19</x:v>
      </x:c>
      <x:c r="H134" s="11" t="str">
        <x:v>14</x:v>
      </x:c>
      <x:c r="I134" s="11" t="str">
        <x:v>0.737</x:v>
      </x:c>
      <x:c r="J134" s="11" t="str"/>
      <x:c r="K134" s="11" t="str"/>
      <x:c r="L134" s="11" t="str">
        <x:v>https://zenodo.org/records/18675407</x:v>
      </x:c>
    </x:row>
    <x:row r="135">
      <x:c r="A135" s="11" t="str">
        <x:v>zenodo</x:v>
      </x:c>
      <x:c r="B135" s="11" t="str">
        <x:v>10.5281/zenodo.18675381</x:v>
      </x:c>
      <x:c r="C135" s="11" t="str">
        <x:v>CF04: Complete Formalism — Telegraph-Fisher Causality (Finite-Speed Transport)</x:v>
      </x:c>
      <x:c r="D135" s="11" t="str">
        <x:v>2026-02-17</x:v>
      </x:c>
      <x:c r="E135" s="11" t="str">
        <x:v>16</x:v>
      </x:c>
      <x:c r="F135" s="11" t="str">
        <x:v>14</x:v>
      </x:c>
      <x:c r="G135" s="11" t="str">
        <x:v>9</x:v>
      </x:c>
      <x:c r="H135" s="11" t="str">
        <x:v>7</x:v>
      </x:c>
      <x:c r="I135" s="11" t="str">
        <x:v>0.778</x:v>
      </x:c>
      <x:c r="J135" s="11" t="str"/>
      <x:c r="K135" s="11" t="str"/>
      <x:c r="L135" s="11" t="str">
        <x:v>https://zenodo.org/records/18675381</x:v>
      </x:c>
    </x:row>
    <x:row r="136">
      <x:c r="A136" s="11" t="str">
        <x:v>zenodo</x:v>
      </x:c>
      <x:c r="B136" s="11" t="str">
        <x:v>10.5281/zenodo.18675323</x:v>
      </x:c>
      <x:c r="C136" s="11" t="str">
        <x:v>CF11: Dark Sector Emergence from Metriplectic Dynamics</x:v>
      </x:c>
      <x:c r="D136" s="11" t="str">
        <x:v>2026-02-17</x:v>
      </x:c>
      <x:c r="E136" s="11" t="str">
        <x:v>19</x:v>
      </x:c>
      <x:c r="F136" s="11" t="str">
        <x:v>18</x:v>
      </x:c>
      <x:c r="G136" s="11" t="str">
        <x:v>8</x:v>
      </x:c>
      <x:c r="H136" s="11" t="str">
        <x:v>8</x:v>
      </x:c>
      <x:c r="I136" s="11" t="str">
        <x:v>1</x:v>
      </x:c>
      <x:c r="J136" s="11" t="str"/>
      <x:c r="K136" s="11" t="str"/>
      <x:c r="L136" s="11" t="str">
        <x:v>https://zenodo.org/records/18675323</x:v>
      </x:c>
    </x:row>
    <x:row r="137">
      <x:c r="A137" s="11" t="str">
        <x:v>zenodo</x:v>
      </x:c>
      <x:c r="B137" s="11" t="str">
        <x:v>10.5281/zenodo.18675311</x:v>
      </x:c>
      <x:c r="C137" s="11" t="str">
        <x:v>CF10: Complete Formalism — VDM Lattice Hydrodynamics, Continuum Limit, and Regularity Program</x:v>
      </x:c>
      <x:c r="D137" s="11" t="str">
        <x:v>2026-02-17</x:v>
      </x:c>
      <x:c r="E137" s="11" t="str">
        <x:v>18</x:v>
      </x:c>
      <x:c r="F137" s="11" t="str">
        <x:v>17</x:v>
      </x:c>
      <x:c r="G137" s="11" t="str">
        <x:v>6</x:v>
      </x:c>
      <x:c r="H137" s="11" t="str">
        <x:v>5</x:v>
      </x:c>
      <x:c r="I137" s="11" t="str">
        <x:v>0.833</x:v>
      </x:c>
      <x:c r="J137" s="11" t="str"/>
      <x:c r="K137" s="11" t="str"/>
      <x:c r="L137" s="11" t="str">
        <x:v>https://zenodo.org/records/18675311</x:v>
      </x:c>
    </x:row>
    <x:row r="138">
      <x:c r="A138" s="11" t="str">
        <x:v>zenodo</x:v>
      </x:c>
      <x:c r="B138" s="11" t="str">
        <x:v>10.5281/zenodo.18675301</x:v>
      </x:c>
      <x:c r="C138" s="11" t="str">
        <x:v>CF09: Complete Formalism — Gauge Field Emergence via Berry Connection in VDM</x:v>
      </x:c>
      <x:c r="D138" s="11" t="str">
        <x:v>2026-02-17</x:v>
      </x:c>
      <x:c r="E138" s="11" t="str">
        <x:v>11</x:v>
      </x:c>
      <x:c r="F138" s="11" t="str">
        <x:v>10</x:v>
      </x:c>
      <x:c r="G138" s="11" t="str">
        <x:v>6</x:v>
      </x:c>
      <x:c r="H138" s="11" t="str">
        <x:v>6</x:v>
      </x:c>
      <x:c r="I138" s="11" t="str">
        <x:v>1</x:v>
      </x:c>
      <x:c r="J138" s="11" t="str"/>
      <x:c r="K138" s="11" t="str"/>
      <x:c r="L138" s="11" t="str">
        <x:v>https://zenodo.org/records/18675301</x:v>
      </x:c>
    </x:row>
    <x:row r="139">
      <x:c r="A139" s="11" t="str">
        <x:v>zenodo</x:v>
      </x:c>
      <x:c r="B139" s="11" t="str">
        <x:v>10.5281/zenodo.18675290</x:v>
      </x:c>
      <x:c r="C139" s="11" t="str">
        <x:v>CF08: Complete Formalism — Spinor Emergence via Domain-Wall Fermions in VDM</x:v>
      </x:c>
      <x:c r="D139" s="11" t="str">
        <x:v>2026-02-17</x:v>
      </x:c>
      <x:c r="E139" s="11" t="str">
        <x:v>21</x:v>
      </x:c>
      <x:c r="F139" s="11" t="str">
        <x:v>20</x:v>
      </x:c>
      <x:c r="G139" s="11" t="str">
        <x:v>6</x:v>
      </x:c>
      <x:c r="H139" s="11" t="str">
        <x:v>5</x:v>
      </x:c>
      <x:c r="I139" s="11" t="str">
        <x:v>0.833</x:v>
      </x:c>
      <x:c r="J139" s="11" t="str"/>
      <x:c r="K139" s="11" t="str"/>
      <x:c r="L139" s="11" t="str">
        <x:v>https://zenodo.org/records/18675290</x:v>
      </x:c>
    </x:row>
    <x:row r="140">
      <x:c r="A140" s="11" t="str">
        <x:v>zenodo</x:v>
      </x:c>
      <x:c r="B140" s="11" t="str">
        <x:v>10.5281/zenodo.18675276</x:v>
      </x:c>
      <x:c r="C140" s="11" t="str">
        <x:v>CF07: Measurement Theory Foundations — Decoherence and Born Rule for VDM</x:v>
      </x:c>
      <x:c r="D140" s="11" t="str">
        <x:v>2026-02-17</x:v>
      </x:c>
      <x:c r="E140" s="11" t="str">
        <x:v>24</x:v>
      </x:c>
      <x:c r="F140" s="11" t="str">
        <x:v>23</x:v>
      </x:c>
      <x:c r="G140" s="11" t="str">
        <x:v>8</x:v>
      </x:c>
      <x:c r="H140" s="11" t="str">
        <x:v>8</x:v>
      </x:c>
      <x:c r="I140" s="11" t="str">
        <x:v>1</x:v>
      </x:c>
      <x:c r="J140" s="11" t="str"/>
      <x:c r="K140" s="11" t="str"/>
      <x:c r="L140" s="11" t="str">
        <x:v>https://zenodo.org/records/18675276</x:v>
      </x:c>
    </x:row>
    <x:row r="141">
      <x:c r="A141" s="11" t="str">
        <x:v>zenodo</x:v>
      </x:c>
      <x:c r="B141" s="11" t="str">
        <x:v>10.5281/zenodo.18675267</x:v>
      </x:c>
      <x:c r="C141" s="11" t="str">
        <x:v>CF06: Information Geometry Foundations — Fisher and Ruppeiner Metrics for VDM M-Limb</x:v>
      </x:c>
      <x:c r="D141" s="11" t="str">
        <x:v>2026-02-17</x:v>
      </x:c>
      <x:c r="E141" s="11" t="str">
        <x:v>26</x:v>
      </x:c>
      <x:c r="F141" s="11" t="str">
        <x:v>25</x:v>
      </x:c>
      <x:c r="G141" s="11" t="str">
        <x:v>10</x:v>
      </x:c>
      <x:c r="H141" s="11" t="str">
        <x:v>9</x:v>
      </x:c>
      <x:c r="I141" s="11" t="str">
        <x:v>0.9</x:v>
      </x:c>
      <x:c r="J141" s="11" t="str"/>
      <x:c r="K141" s="11" t="str"/>
      <x:c r="L141" s="11" t="str">
        <x:v>https://zenodo.org/records/18675267</x:v>
      </x:c>
    </x:row>
    <x:row r="142">
      <x:c r="A142" s="11" t="str">
        <x:v>zenodo</x:v>
      </x:c>
      <x:c r="B142" s="11" t="str">
        <x:v>10.5281/zenodo.18675256</x:v>
      </x:c>
      <x:c r="C142" s="11" t="str">
        <x:v>CF05: Complete Formalism — Integrability Closure (No Hidden Conserved Quantities)</x:v>
      </x:c>
      <x:c r="D142" s="11" t="str">
        <x:v>2026-02-17</x:v>
      </x:c>
      <x:c r="E142" s="11" t="str">
        <x:v>22</x:v>
      </x:c>
      <x:c r="F142" s="11" t="str">
        <x:v>22</x:v>
      </x:c>
      <x:c r="G142" s="11" t="str">
        <x:v>11</x:v>
      </x:c>
      <x:c r="H142" s="11" t="str">
        <x:v>11</x:v>
      </x:c>
      <x:c r="I142" s="11" t="str">
        <x:v>1</x:v>
      </x:c>
      <x:c r="J142" s="11" t="str"/>
      <x:c r="K142" s="11" t="str"/>
      <x:c r="L142" s="11" t="str">
        <x:v>https://zenodo.org/records/18675256</x:v>
      </x:c>
    </x:row>
    <x:row r="143">
      <x:c r="A143" s="11" t="str">
        <x:v>zenodo</x:v>
      </x:c>
      <x:c r="B143" s="11" t="str">
        <x:v>10.5281/zenodo.18675239</x:v>
      </x:c>
      <x:c r="C143" s="11" t="str">
        <x:v>CF04: Complete Formalism — Telegraph-Fisher Causality (Finite-Speed Transport)</x:v>
      </x:c>
      <x:c r="D143" s="11" t="str">
        <x:v>2026-02-17</x:v>
      </x:c>
      <x:c r="E143" s="11" t="str">
        <x:v>26</x:v>
      </x:c>
      <x:c r="F143" s="11" t="str">
        <x:v>25</x:v>
      </x:c>
      <x:c r="G143" s="11" t="str">
        <x:v>13</x:v>
      </x:c>
      <x:c r="H143" s="11" t="str">
        <x:v>12</x:v>
      </x:c>
      <x:c r="I143" s="11" t="str">
        <x:v>0.923</x:v>
      </x:c>
      <x:c r="J143" s="11" t="str"/>
      <x:c r="K143" s="11" t="str"/>
      <x:c r="L143" s="11" t="str">
        <x:v>https://zenodo.org/records/18675239</x:v>
      </x:c>
    </x:row>
    <x:row r="144">
      <x:c r="A144" s="11" t="str">
        <x:v>zenodo</x:v>
      </x:c>
      <x:c r="B144" s="11" t="str">
        <x:v>10.5281/zenodo.18675227</x:v>
      </x:c>
      <x:c r="C144" s="11" t="str">
        <x:v>CF03: Complete Formalism — A8 Scaling Theorem (Hierarchical Tachyonic Interfaces)</x:v>
      </x:c>
      <x:c r="D144" s="11" t="str">
        <x:v>2026-02-17</x:v>
      </x:c>
      <x:c r="E144" s="11" t="str">
        <x:v>20</x:v>
      </x:c>
      <x:c r="F144" s="11" t="str">
        <x:v>19</x:v>
      </x:c>
      <x:c r="G144" s="11" t="str">
        <x:v>7</x:v>
      </x:c>
      <x:c r="H144" s="11" t="str">
        <x:v>6</x:v>
      </x:c>
      <x:c r="I144" s="11" t="str">
        <x:v>0.857</x:v>
      </x:c>
      <x:c r="J144" s="11" t="str"/>
      <x:c r="K144" s="11" t="str"/>
      <x:c r="L144" s="11" t="str">
        <x:v>https://zenodo.org/records/18675227</x:v>
      </x:c>
    </x:row>
    <x:row r="145">
      <x:c r="A145" s="11" t="str">
        <x:v>zenodo</x:v>
      </x:c>
      <x:c r="B145" s="11" t="str">
        <x:v>10.5281/zenodo.18675169</x:v>
      </x:c>
      <x:c r="C145" s="11" t="str">
        <x:v>CF02: Contact to Metriplectic Evolution</x:v>
      </x:c>
      <x:c r="D145" s="11" t="str">
        <x:v>2026-02-17</x:v>
      </x:c>
      <x:c r="E145" s="11" t="str">
        <x:v>27</x:v>
      </x:c>
      <x:c r="F145" s="11" t="str">
        <x:v>23</x:v>
      </x:c>
      <x:c r="G145" s="11" t="str">
        <x:v>19</x:v>
      </x:c>
      <x:c r="H145" s="11" t="str">
        <x:v>15</x:v>
      </x:c>
      <x:c r="I145" s="11" t="str">
        <x:v>0.789</x:v>
      </x:c>
      <x:c r="J145" s="11" t="str"/>
      <x:c r="K145" s="11" t="str"/>
      <x:c r="L145" s="11" t="str">
        <x:v>https://zenodo.org/records/18675169</x:v>
      </x:c>
    </x:row>
    <x:row r="146">
      <x:c r="A146" s="11" t="str">
        <x:v>zenodo</x:v>
      </x:c>
      <x:c r="B146" s="11" t="str">
        <x:v>10.5281/zenodo.18675122</x:v>
      </x:c>
      <x:c r="C146" s="11" t="str">
        <x:v>CF01: Complete Formalism - Quantum Geometric Tensor to Metriplectic Brackets</x:v>
      </x:c>
      <x:c r="D146" s="11" t="str">
        <x:v>2026-02-17</x:v>
      </x:c>
      <x:c r="E146" s="11" t="str">
        <x:v>43</x:v>
      </x:c>
      <x:c r="F146" s="11" t="str">
        <x:v>39</x:v>
      </x:c>
      <x:c r="G146" s="11" t="str">
        <x:v>25</x:v>
      </x:c>
      <x:c r="H146" s="11" t="str">
        <x:v>21</x:v>
      </x:c>
      <x:c r="I146" s="11" t="str">
        <x:v>0.84</x:v>
      </x:c>
      <x:c r="J146" s="11" t="str"/>
      <x:c r="K146" s="11" t="str"/>
      <x:c r="L146" s="11" t="str">
        <x:v>https://zenodo.org/records/18675122</x:v>
      </x:c>
    </x:row>
    <x:row r="147">
      <x:c r="A147" s="11" t="str">
        <x:v>zenodo</x:v>
      </x:c>
      <x:c r="B147" s="11" t="str">
        <x:v>10.5281/zenodo.18607800</x:v>
      </x:c>
      <x:c r="C147" s="11" t="str">
        <x:v>Data Analysis on Early Run Logs of The Void Dynamics Model Runtime</x:v>
      </x:c>
      <x:c r="D147" s="11" t="str">
        <x:v>2026-02-11</x:v>
      </x:c>
      <x:c r="E147" s="11" t="str">
        <x:v>25</x:v>
      </x:c>
      <x:c r="F147" s="11" t="str">
        <x:v>25</x:v>
      </x:c>
      <x:c r="G147" s="11" t="str">
        <x:v>7</x:v>
      </x:c>
      <x:c r="H147" s="11" t="str">
        <x:v>7</x:v>
      </x:c>
      <x:c r="I147" s="11" t="str">
        <x:v>1</x:v>
      </x:c>
      <x:c r="J147" s="11" t="str"/>
      <x:c r="K147" s="11" t="str"/>
      <x:c r="L147" s="11" t="str">
        <x:v>https://zenodo.org/records/18607800</x:v>
      </x:c>
    </x:row>
    <x:row r="148">
      <x:c r="A148" s="11" t="str">
        <x:v>zenodo</x:v>
      </x:c>
      <x:c r="B148" s="11" t="str">
        <x:v>10.5281/zenodo.17701735</x:v>
      </x:c>
      <x:c r="C148" s="11" t="str">
        <x:v>Packaged Release - VDM Unification Roadmap: From Quantum Waves to Cosmology</x:v>
      </x:c>
      <x:c r="D148" s="11" t="str">
        <x:v>2025-11-24</x:v>
      </x:c>
      <x:c r="E148" s="11" t="str">
        <x:v>15</x:v>
      </x:c>
      <x:c r="F148" s="11" t="str">
        <x:v>15</x:v>
      </x:c>
      <x:c r="G148" s="11" t="str">
        <x:v>0</x:v>
      </x:c>
      <x:c r="H148" s="11" t="str">
        <x:v>0</x:v>
      </x:c>
      <x:c r="I148" s="11" t="str"/>
      <x:c r="J148" s="11" t="str"/>
      <x:c r="K148" s="11" t="str"/>
      <x:c r="L148" s="11" t="str">
        <x:v>https://zenodo.org/records/17701735</x:v>
      </x:c>
    </x:row>
    <x:row r="149">
      <x:c r="A149" s="11" t="str">
        <x:v>zenodo</x:v>
      </x:c>
      <x:c r="B149" s="11" t="str">
        <x:v>10.5281/zenodo.17697113</x:v>
      </x:c>
      <x:c r="C149" s="11" t="str">
        <x:v>Packaged Release - VDM Unification Roadmap: From Quantum Waves to Cosmology</x:v>
      </x:c>
      <x:c r="D149" s="11" t="str">
        <x:v>2025-11-24</x:v>
      </x:c>
      <x:c r="E149" s="11" t="str">
        <x:v>19</x:v>
      </x:c>
      <x:c r="F149" s="11" t="str">
        <x:v>15</x:v>
      </x:c>
      <x:c r="G149" s="11" t="str">
        <x:v>3</x:v>
      </x:c>
      <x:c r="H149" s="11" t="str">
        <x:v>3</x:v>
      </x:c>
      <x:c r="I149" s="11" t="str">
        <x:v>1</x:v>
      </x:c>
      <x:c r="J149" s="11" t="str"/>
      <x:c r="K149" s="11" t="str"/>
      <x:c r="L149" s="11" t="str">
        <x:v>https://zenodo.org/records/17697113</x:v>
      </x:c>
    </x:row>
    <x:row r="150">
      <x:c r="A150" s="11" t="str">
        <x:v>zenodo</x:v>
      </x:c>
      <x:c r="B150" s="11" t="str">
        <x:v>10.5281/zenodo.17567396</x:v>
      </x:c>
      <x:c r="C150" s="11" t="str">
        <x:v>Counterfactual Echo Gain (CEG): Future-Aware Metriplectic Assistance Yields Gate-Certified Echo Improvement</x:v>
      </x:c>
      <x:c r="D150" s="11" t="str">
        <x:v>2025-11-10</x:v>
      </x:c>
      <x:c r="E150" s="11" t="str">
        <x:v>230</x:v>
      </x:c>
      <x:c r="F150" s="11" t="str">
        <x:v>210</x:v>
      </x:c>
      <x:c r="G150" s="11" t="str">
        <x:v>750</x:v>
      </x:c>
      <x:c r="H150" s="11" t="str">
        <x:v>700</x:v>
      </x:c>
      <x:c r="I150" s="11" t="str">
        <x:v>0.933</x:v>
      </x:c>
      <x:c r="J150" s="11" t="str"/>
      <x:c r="K150" s="11" t="str"/>
      <x:c r="L150" s="11" t="str">
        <x:v>https://zenodo.org/records/17567396</x:v>
      </x:c>
    </x:row>
    <x:row r="151">
      <x:c r="A151" s="11" t="str">
        <x:v>zenodo</x:v>
      </x:c>
      <x:c r="B151" s="11" t="str">
        <x:v>10.5281/zenodo.17525916</x:v>
      </x:c>
      <x:c r="C151" s="11" t="str">
        <x:v>Counterfactual Echo Gain (CEG): A Metriplectic Assisted-Echo Experiment Proposal in VDM</x:v>
      </x:c>
      <x:c r="D151" s="11" t="str">
        <x:v>2025-11-04</x:v>
      </x:c>
      <x:c r="E151" s="11" t="str">
        <x:v>33</x:v>
      </x:c>
      <x:c r="F151" s="11" t="str">
        <x:v>29</x:v>
      </x:c>
      <x:c r="G151" s="11" t="str">
        <x:v>72</x:v>
      </x:c>
      <x:c r="H151" s="11" t="str">
        <x:v>66</x:v>
      </x:c>
      <x:c r="I151" s="11" t="str">
        <x:v>0.917</x:v>
      </x:c>
      <x:c r="J151" s="11" t="str"/>
      <x:c r="K151" s="11" t="str"/>
      <x:c r="L151" s="11" t="str">
        <x:v>https://zenodo.org/records/17525916</x:v>
      </x:c>
    </x:row>
    <x:row r="152">
      <x:c r="A152" s="11" t="str">
        <x:v>zenodo</x:v>
      </x:c>
      <x:c r="B152" s="11" t="str">
        <x:v>10.5281/zenodo.17508502</x:v>
      </x:c>
      <x:c r="C152" s="11" t="str">
        <x:v>The Lietz Infinity Resolution Conjecture: Hierarchical Scale-Breaking in Tachyonic Metriplectic Systems</x:v>
      </x:c>
      <x:c r="D152" s="11" t="str">
        <x:v>2025-11-01</x:v>
      </x:c>
      <x:c r="E152" s="11" t="str">
        <x:v>162</x:v>
      </x:c>
      <x:c r="F152" s="11" t="str">
        <x:v>155</x:v>
      </x:c>
      <x:c r="G152" s="11" t="str">
        <x:v>159</x:v>
      </x:c>
      <x:c r="H152" s="11" t="str">
        <x:v>139</x:v>
      </x:c>
      <x:c r="I152" s="11" t="str">
        <x:v>0.874</x:v>
      </x:c>
      <x:c r="J152" s="11" t="str"/>
      <x:c r="K152" s="11" t="str"/>
      <x:c r="L152" s="11" t="str">
        <x:v>https://zenodo.org/records/17508502</x:v>
      </x:c>
    </x:row>
    <x:row r="153">
      <x:c r="A153" s="11" t="str">
        <x:v>zenodo</x:v>
      </x:c>
      <x:c r="B153" s="11" t="str">
        <x:v>10.5281/zenodo.17508148</x:v>
      </x:c>
      <x:c r="C153" s="11" t="str">
        <x:v>The Lietz Infinity Resolution Conjecture: Hierarchical Scale-Breaking in Tachyonic Metriplectic Systems</x:v>
      </x:c>
      <x:c r="D153" s="11" t="str">
        <x:v>2025-11-01</x:v>
      </x:c>
      <x:c r="E153" s="11" t="str">
        <x:v>25</x:v>
      </x:c>
      <x:c r="F153" s="11" t="str">
        <x:v>25</x:v>
      </x:c>
      <x:c r="G153" s="11" t="str">
        <x:v>15</x:v>
      </x:c>
      <x:c r="H153" s="11" t="str">
        <x:v>15</x:v>
      </x:c>
      <x:c r="I153" s="11" t="str">
        <x:v>1</x:v>
      </x:c>
      <x:c r="J153" s="11" t="str"/>
      <x:c r="K153" s="11" t="str"/>
      <x:c r="L153" s="11" t="str">
        <x:v>https://zenodo.org/records/17508148</x:v>
      </x:c>
    </x:row>
    <x:row r="154">
      <x:c r="A154" s="11" t="str">
        <x:v>zenodo</x:v>
      </x:c>
      <x:c r="B154" s="11" t="str">
        <x:v>10.5281/zenodo.17503344</x:v>
      </x:c>
      <x:c r="C154" s="11" t="str">
        <x:v>The Lietz Infinity Resolution Conjecture: Hierarchical Scale-Breaking in Tachyonic Metriplectic Systems</x:v>
      </x:c>
      <x:c r="D154" s="11" t="str">
        <x:v>2025-11-01</x:v>
      </x:c>
      <x:c r="E154" s="11" t="str">
        <x:v>53</x:v>
      </x:c>
      <x:c r="F154" s="11" t="str">
        <x:v>48</x:v>
      </x:c>
      <x:c r="G154" s="11" t="str">
        <x:v>55</x:v>
      </x:c>
      <x:c r="H154" s="11" t="str">
        <x:v>46</x:v>
      </x:c>
      <x:c r="I154" s="11" t="str">
        <x:v>0.836</x:v>
      </x:c>
      <x:c r="J154" s="11" t="str"/>
      <x:c r="K154" s="11" t="str"/>
      <x:c r="L154" s="11" t="str">
        <x:v>https://zenodo.org/records/17503344</x:v>
      </x:c>
    </x:row>
    <x:row r="155">
      <x:c r="A155" s="11" t="str">
        <x:v>zenodo</x:v>
      </x:c>
      <x:c r="B155" s="11" t="str">
        <x:v>10.5281/zenodo.17497855</x:v>
      </x:c>
      <x:c r="C155" s="11" t="str">
        <x:v>Packaged Release of a T8 A8 Proposal for the Void Dynamics Model</x:v>
      </x:c>
      <x:c r="D155" s="11" t="str">
        <x:v>2025-11-01</x:v>
      </x:c>
      <x:c r="E155" s="11" t="str">
        <x:v>40</x:v>
      </x:c>
      <x:c r="F155" s="11" t="str">
        <x:v>37</x:v>
      </x:c>
      <x:c r="G155" s="11" t="str">
        <x:v>11</x:v>
      </x:c>
      <x:c r="H155" s="11" t="str">
        <x:v>11</x:v>
      </x:c>
      <x:c r="I155" s="11" t="str">
        <x:v>1</x:v>
      </x:c>
      <x:c r="J155" s="11" t="str"/>
      <x:c r="K155" s="11" t="str"/>
      <x:c r="L155" s="11" t="str">
        <x:v>https://zenodo.org/records/17497855</x:v>
      </x:c>
    </x:row>
    <x:row r="156">
      <x:c r="A156" s="11" t="str">
        <x:v>zenodo</x:v>
      </x:c>
      <x:c r="B156" s="11" t="str">
        <x:v>10.5281/zenodo.17455491</x:v>
      </x:c>
      <x:c r="C156" s="11" t="str">
        <x:v>A Logarithmic First Integral for the Logistic On Site Law in Void Dynamics</x:v>
      </x:c>
      <x:c r="D156" s="11" t="str">
        <x:v>2025-10-27</x:v>
      </x:c>
      <x:c r="E156" s="11" t="str">
        <x:v>7</x:v>
      </x:c>
      <x:c r="F156" s="11" t="str">
        <x:v>7</x:v>
      </x:c>
      <x:c r="G156" s="11" t="str">
        <x:v>9</x:v>
      </x:c>
      <x:c r="H156" s="11" t="str">
        <x:v>9</x:v>
      </x:c>
      <x:c r="I156" s="11" t="str">
        <x:v>1</x:v>
      </x:c>
      <x:c r="J156" s="11" t="str"/>
      <x:c r="K156" s="11" t="str"/>
      <x:c r="L156" s="11" t="str">
        <x:v>https://zenodo.org/records/17455491</x:v>
      </x:c>
    </x:row>
    <x:row r="157">
      <x:c r="A157" s="11" t="str">
        <x:v>zenodo</x:v>
      </x:c>
      <x:c r="B157" s="11" t="str">
        <x:v>10.5281/zenodo.17220869</x:v>
      </x:c>
      <x:c r="C157" s="11" t="str">
        <x:v>A Logarithmic First Integral for the Logistic On Site Law in Void Dynamics</x:v>
      </x:c>
      <x:c r="D157" s="11" t="str">
        <x:v>2025-09-29</x:v>
      </x:c>
      <x:c r="E157" s="11" t="str">
        <x:v>375</x:v>
      </x:c>
      <x:c r="F157" s="11" t="str">
        <x:v>312</x:v>
      </x:c>
      <x:c r="G157" s="11" t="str">
        <x:v>610</x:v>
      </x:c>
      <x:c r="H157" s="11" t="str">
        <x:v>507</x:v>
      </x:c>
      <x:c r="I157" s="11" t="str">
        <x:v>0.831</x:v>
      </x:c>
      <x:c r="J157" s="11" t="str"/>
      <x:c r="K157" s="11" t="str"/>
      <x:c r="L157" s="11" t="str">
        <x:v>https://zenodo.org/records/17220869</x:v>
      </x:c>
    </x:row>
    <x:row r="158">
      <x:c r="A158" s="11" t="str">
        <x:v>github</x:v>
      </x:c>
      <x:c r="B158" s="11" t="str">
        <x:v>Neuroca-Inc/Prometheus_Void-Dynamics_Model</x:v>
      </x:c>
      <x:c r="C158" s="11" t="str">
        <x:v>Neuroca, Inc's official public authorized repository for a physics grounded approach to modeling real time divergent / c</x:v>
      </x:c>
      <x:c r="D158" s="11" t="str">
        <x:v>2026-05-12</x:v>
      </x:c>
      <x:c r="E158" s="11" t="str"/>
      <x:c r="F158" s="11" t="str"/>
      <x:c r="G158" s="11" t="str"/>
      <x:c r="H158" s="11" t="str"/>
      <x:c r="I158" s="11" t="str"/>
      <x:c r="J158" s="11" t="str">
        <x:v>4</x:v>
      </x:c>
      <x:c r="K158" s="11" t="str">
        <x:v>3</x:v>
      </x:c>
      <x:c r="L158" s="11" t="str">
        <x:v>https://github.com/Neuroca-Inc/Prometheus_Void-Dynamics_Model</x:v>
      </x:c>
    </x:row>
    <x:row r="159">
      <x:c r="A159" s="11" t="str">
        <x:v>github</x:v>
      </x:c>
      <x:c r="B159" s="11" t="str">
        <x:v>Neuroca-Inc/_Neuroca</x:v>
      </x:c>
      <x:c r="C159" s="11" t="str">
        <x:v>Dynamic, self managing biology-like memory layer for LLMs. Give your agent the ability to remember and forget in three s</x:v>
      </x:c>
      <x:c r="D159" s="11" t="str">
        <x:v>2025-12-09</x:v>
      </x:c>
      <x:c r="E159" s="11" t="str"/>
      <x:c r="F159" s="11" t="str"/>
      <x:c r="G159" s="11" t="str"/>
      <x:c r="H159" s="11" t="str"/>
      <x:c r="I159" s="11" t="str"/>
      <x:c r="J159" s="11" t="str">
        <x:v>1</x:v>
      </x:c>
      <x:c r="K159" s="11" t="str">
        <x:v>0</x:v>
      </x:c>
      <x:c r="L159" s="11" t="str">
        <x:v>https://github.com/Neuroca-Inc/_Neuroca</x:v>
      </x:c>
    </x:row>
    <x:row r="160">
      <x:c r="A160" s="11" t="str">
        <x:v>github</x:v>
      </x:c>
      <x:c r="B160" s="11" t="str">
        <x:v>Neuroca-Inc/Cogito-Research</x:v>
      </x:c>
      <x:c r="C160" s="11" t="str">
        <x:v>Cogito: Computational framework employing a Syncretic Catalyst (synthesis) &amp; rigorous Critique System (analysis) autonom</x:v>
      </x:c>
      <x:c r="D160" s="11" t="str">
        <x:v>2026-04-16</x:v>
      </x:c>
      <x:c r="E160" s="11" t="str"/>
      <x:c r="F160" s="11" t="str"/>
      <x:c r="G160" s="11" t="str"/>
      <x:c r="H160" s="11" t="str"/>
      <x:c r="I160" s="11" t="str"/>
      <x:c r="J160" s="11" t="str">
        <x:v>2</x:v>
      </x:c>
      <x:c r="K160" s="11" t="str">
        <x:v>0</x:v>
      </x:c>
      <x:c r="L160" s="11" t="str">
        <x:v>https://github.com/Neuroca-Inc/Cogito-Research</x:v>
      </x:c>
    </x:row>
    <x:row r="161">
      <x:c r="A161" s="11" t="str">
        <x:v>github</x:v>
      </x:c>
      <x:c r="B161" s="11" t="str">
        <x:v>Neuroca-Inc/.github</x:v>
      </x:c>
      <x:c r="C161" s="11" t="str"/>
      <x:c r="D161" s="11" t="str">
        <x:v>2026-08-26</x:v>
      </x:c>
      <x:c r="E161" s="11" t="str"/>
      <x:c r="F161" s="11" t="str"/>
      <x:c r="G161" s="11" t="str"/>
      <x:c r="H161" s="11" t="str"/>
      <x:c r="I161" s="11" t="str"/>
      <x:c r="J161" s="11" t="str">
        <x:v>0</x:v>
      </x:c>
      <x:c r="K161" s="11" t="str">
        <x:v>0</x:v>
      </x:c>
      <x:c r="L161" s="11" t="str">
        <x:v>https://github.com/Neuroca-Inc/.github</x:v>
      </x:c>
    </x:row>
    <x:row r="162">
      <x:c r="A162" s="11" t="str">
        <x:v>github</x:v>
      </x:c>
      <x:c r="B162" s="11" t="str">
        <x:v>Neuroca-Inc/VDM</x:v>
      </x:c>
      <x:c r="C162" s="11" t="str">
        <x:v>The official Neuroca, Inc. repository for the Void Dynamics Model research project.</x:v>
      </x:c>
      <x:c r="D162" s="11" t="str">
        <x:v>2026-05-09</x:v>
      </x:c>
      <x:c r="E162" s="11" t="str"/>
      <x:c r="F162" s="11" t="str"/>
      <x:c r="G162" s="11" t="str"/>
      <x:c r="H162" s="11" t="str"/>
      <x:c r="I162" s="11" t="str"/>
      <x:c r="J162" s="11" t="str">
        <x:v>1</x:v>
      </x:c>
      <x:c r="K162" s="11" t="str">
        <x:v>0</x:v>
      </x:c>
      <x:c r="L162" s="11" t="str">
        <x:v>https://github.com/Neuroca-Inc/VDM</x:v>
      </x:c>
    </x:row>
    <x:row r="163">
      <x:c r="A163" s="11" t="str">
        <x:v>github</x:v>
      </x:c>
      <x:c r="B163" s="11" t="str">
        <x:v>Neuroca-Inc/TeXterity</x:v>
      </x:c>
      <x:c r="C163" s="11" t="str">
        <x:v>A native, offline-first desktop game written in Rust for learning to type LaTeX used in graduate mathematics and physics</x:v>
      </x:c>
      <x:c r="D163" s="11" t="str">
        <x:v>2026-08-10</x:v>
      </x:c>
      <x:c r="E163" s="11" t="str"/>
      <x:c r="F163" s="11" t="str"/>
      <x:c r="G163" s="11" t="str"/>
      <x:c r="H163" s="11" t="str"/>
      <x:c r="I163" s="11" t="str"/>
      <x:c r="J163" s="11" t="str">
        <x:v>0</x:v>
      </x:c>
      <x:c r="K163" s="11" t="str">
        <x:v>0</x:v>
      </x:c>
      <x:c r="L163" s="11" t="str">
        <x:v>https://github.com/Neuroca-Inc/TeXterity</x:v>
      </x:c>
    </x:row>
    <x:row r="164">
      <x:c r="A164" s="11" t="str">
        <x:v>github</x:v>
      </x:c>
      <x:c r="B164" s="11" t="str">
        <x:v>Neuroca-Inc/cortex-engine</x:v>
      </x:c>
      <x:c r="C164" s="11" t="str">
        <x:v>Phase Calculus world simulation engine for physics, video games, AI models, operating systems, robotics, and more.</x:v>
      </x:c>
      <x:c r="D164" s="11" t="str">
        <x:v>2026-08-26</x:v>
      </x:c>
      <x:c r="E164" s="11" t="str"/>
      <x:c r="F164" s="11" t="str"/>
      <x:c r="G164" s="11" t="str"/>
      <x:c r="H164" s="11" t="str"/>
      <x:c r="I164" s="11" t="str"/>
      <x:c r="J164" s="11" t="str">
        <x:v>0</x:v>
      </x:c>
      <x:c r="K164" s="11" t="str">
        <x:v>0</x:v>
      </x:c>
      <x:c r="L164" s="11" t="str">
        <x:v>https://github.com/Neuroca-Inc/cortex-engine</x:v>
      </x:c>
    </x:row>
    <x:row r="165">
      <x:c r="A165" s="11" t="str">
        <x:v>github</x:v>
      </x:c>
      <x:c r="B165" s="11" t="str">
        <x:v>Neuroca-Inc/vdm_rt</x:v>
      </x:c>
      <x:c r="C165" s="11" t="str">
        <x:v>Real-time, zero-training, self-managing topological graph model with emergent learning driven by sophisticated, rich spi</x:v>
      </x:c>
      <x:c r="D165" s="11" t="str">
        <x:v>2026-08-10</x:v>
      </x:c>
      <x:c r="E165" s="11" t="str"/>
      <x:c r="F165" s="11" t="str"/>
      <x:c r="G165" s="11" t="str"/>
      <x:c r="H165" s="11" t="str"/>
      <x:c r="I165" s="11" t="str"/>
      <x:c r="J165" s="11" t="str">
        <x:v>0</x:v>
      </x:c>
      <x:c r="K165" s="11" t="str">
        <x:v>0</x:v>
      </x:c>
      <x:c r="L165" s="11" t="str">
        <x:v>https://github.com/Neuroca-Inc/vdm_rt</x:v>
      </x:c>
    </x:row>
    <x:row r="166">
      <x:c r="A166" s="11" t="str">
        <x:v>github</x:v>
      </x:c>
      <x:c r="B166" s="11" t="str">
        <x:v>Neuroca-Inc/conduit</x:v>
      </x:c>
      <x:c r="C166" s="11" t="str">
        <x:v>Local-first desktop application for designing data systems as typed architecture graphs.</x:v>
      </x:c>
      <x:c r="D166" s="11" t="str">
        <x:v>2026-08-10</x:v>
      </x:c>
      <x:c r="E166" s="11" t="str"/>
      <x:c r="F166" s="11" t="str"/>
      <x:c r="G166" s="11" t="str"/>
      <x:c r="H166" s="11" t="str"/>
      <x:c r="I166" s="11" t="str"/>
      <x:c r="J166" s="11" t="str">
        <x:v>0</x:v>
      </x:c>
      <x:c r="K166" s="11" t="str">
        <x:v>0</x:v>
      </x:c>
      <x:c r="L166" s="11" t="str">
        <x:v>https://github.com/Neuroca-Inc/conduit</x:v>
      </x:c>
    </x:row>
    <x:row r="167">
      <x:c r="A167" s="11" t="str">
        <x:v>github</x:v>
      </x:c>
      <x:c r="B167" s="11" t="str">
        <x:v>Neuroca-Inc/arachnid</x:v>
      </x:c>
      <x:c r="C167" s="11" t="str">
        <x:v>Dependency graphing, standards auditing, and documentation snapshotting as a fast, lightweight CLI tool.</x:v>
      </x:c>
      <x:c r="D167" s="11" t="str">
        <x:v>2026-08-10</x:v>
      </x:c>
      <x:c r="E167" s="11" t="str"/>
      <x:c r="F167" s="11" t="str"/>
      <x:c r="G167" s="11" t="str"/>
      <x:c r="H167" s="11" t="str"/>
      <x:c r="I167" s="11" t="str"/>
      <x:c r="J167" s="11" t="str">
        <x:v>0</x:v>
      </x:c>
      <x:c r="K167" s="11" t="str">
        <x:v>0</x:v>
      </x:c>
      <x:c r="L167" s="11" t="str">
        <x:v>https://github.com/Neuroca-Inc/arachnid</x:v>
      </x:c>
    </x:row>
    <x:row r="168">
      <x:c r="A168" s="11" t="str">
        <x:v>github</x:v>
      </x:c>
      <x:c r="B168" s="11" t="str">
        <x:v>Neuroca-Inc/orchestra</x:v>
      </x:c>
      <x:c r="C168" s="11" t="str">
        <x:v>Three agent project tracking desktop application for recording Operator, Guardian, and Auditor interactions without losi</x:v>
      </x:c>
      <x:c r="D168" s="11" t="str">
        <x:v>2026-08-22</x:v>
      </x:c>
      <x:c r="E168" s="11" t="str"/>
      <x:c r="F168" s="11" t="str"/>
      <x:c r="G168" s="11" t="str"/>
      <x:c r="H168" s="11" t="str"/>
      <x:c r="I168" s="11" t="str"/>
      <x:c r="J168" s="11" t="str">
        <x:v>0</x:v>
      </x:c>
      <x:c r="K168" s="11" t="str">
        <x:v>0</x:v>
      </x:c>
      <x:c r="L168" s="11" t="str">
        <x:v>https://github.com/Neuroca-Inc/orchestra</x:v>
      </x:c>
    </x:row>
    <x:row r="169">
      <x:c r="A169" s="11" t="str">
        <x:v>github</x:v>
      </x:c>
      <x:c r="B169" s="11" t="str">
        <x:v>Neuroca-Inc/deltus</x:v>
      </x:c>
      <x:c r="C169" s="11" t="str">
        <x:v>Table comparison tool used for ETL regression testing.</x:v>
      </x:c>
      <x:c r="D169" s="11" t="str">
        <x:v>2026-08-10</x:v>
      </x:c>
      <x:c r="E169" s="11" t="str"/>
      <x:c r="F169" s="11" t="str"/>
      <x:c r="G169" s="11" t="str"/>
      <x:c r="H169" s="11" t="str"/>
      <x:c r="I169" s="11" t="str"/>
      <x:c r="J169" s="11" t="str">
        <x:v>0</x:v>
      </x:c>
      <x:c r="K169" s="11" t="str">
        <x:v>0</x:v>
      </x:c>
      <x:c r="L169" s="11" t="str">
        <x:v>https://github.com/Neuroca-Inc/deltus</x:v>
      </x:c>
    </x:row>
    <x:row r="170">
      <x:c r="A170" s="11" t="str">
        <x:v>github</x:v>
      </x:c>
      <x:c r="B170" s="11" t="str">
        <x:v>Neuroca-Inc/Lean4_Environment</x:v>
      </x:c>
      <x:c r="C170" s="11" t="str">
        <x:v>Lean4 environment for the Void Dynamics Model.</x:v>
      </x:c>
      <x:c r="D170" s="11" t="str">
        <x:v>2026-08-26</x:v>
      </x:c>
      <x:c r="E170" s="11" t="str"/>
      <x:c r="F170" s="11" t="str"/>
      <x:c r="G170" s="11" t="str"/>
      <x:c r="H170" s="11" t="str"/>
      <x:c r="I170" s="11" t="str"/>
      <x:c r="J170" s="11" t="str">
        <x:v>0</x:v>
      </x:c>
      <x:c r="K170" s="11" t="str">
        <x:v>0</x:v>
      </x:c>
      <x:c r="L170" s="11" t="str">
        <x:v>https://github.com/Neuroca-Inc/Lean4_Environment</x:v>
      </x:c>
    </x:row>
    <x:row r="171">
      <x:c r="A171" s="11" t="str">
        <x:v>github</x:v>
      </x:c>
      <x:c r="B171" s="11" t="str">
        <x:v>Neuroca-Inc/Catalyst_Chunker</x:v>
      </x:c>
      <x:c r="C171" s="11" t="str">
        <x:v>An invariant-first chunk formation package for retrieval, agentic software, and document/code workflows that need source</x:v>
      </x:c>
      <x:c r="D171" s="11" t="str">
        <x:v>2026-08-10</x:v>
      </x:c>
      <x:c r="E171" s="11" t="str"/>
      <x:c r="F171" s="11" t="str"/>
      <x:c r="G171" s="11" t="str"/>
      <x:c r="H171" s="11" t="str"/>
      <x:c r="I171" s="11" t="str"/>
      <x:c r="J171" s="11" t="str">
        <x:v>0</x:v>
      </x:c>
      <x:c r="K171" s="11" t="str">
        <x:v>0</x:v>
      </x:c>
      <x:c r="L171" s="11" t="str">
        <x:v>https://github.com/Neuroca-Inc/Catalyst_Chunker</x:v>
      </x:c>
    </x:row>
    <x:row r="172">
      <x:c r="A172" s="11" t="str">
        <x:v>github</x:v>
      </x:c>
      <x:c r="B172" s="11" t="str">
        <x:v>Neuroca-Inc/scriba</x:v>
      </x:c>
      <x:c r="C172" s="11" t="str">
        <x:v>Turn things into text. Multi-modality transcriber, OCR, and convert to txt file tool. Resources</x:v>
      </x:c>
      <x:c r="D172" s="11" t="str">
        <x:v>2026-08-10</x:v>
      </x:c>
      <x:c r="E172" s="11" t="str"/>
      <x:c r="F172" s="11" t="str"/>
      <x:c r="G172" s="11" t="str"/>
      <x:c r="H172" s="11" t="str"/>
      <x:c r="I172" s="11" t="str"/>
      <x:c r="J172" s="11" t="str">
        <x:v>0</x:v>
      </x:c>
      <x:c r="K172" s="11" t="str">
        <x:v>0</x:v>
      </x:c>
      <x:c r="L172" s="11" t="str">
        <x:v>https://github.com/Neuroca-Inc/scriba</x:v>
      </x:c>
    </x:row>
    <x:row r="173">
      <x:c r="A173" s="11" t="str">
        <x:v>github</x:v>
      </x:c>
      <x:c r="B173" s="11" t="str">
        <x:v>Neuroca-Inc/lamina</x:v>
      </x:c>
      <x:c r="C173" s="11" t="str">
        <x:v>A clean architecture template for Python GUIs.</x:v>
      </x:c>
      <x:c r="D173" s="11" t="str">
        <x:v>2026-08-18</x:v>
      </x:c>
      <x:c r="E173" s="11" t="str"/>
      <x:c r="F173" s="11" t="str"/>
      <x:c r="G173" s="11" t="str"/>
      <x:c r="H173" s="11" t="str"/>
      <x:c r="I173" s="11" t="str"/>
      <x:c r="J173" s="11" t="str">
        <x:v>0</x:v>
      </x:c>
      <x:c r="K173" s="11" t="str">
        <x:v>0</x:v>
      </x:c>
      <x:c r="L173" s="11" t="str">
        <x:v>https://github.com/Neuroca-Inc/lamina</x:v>
      </x:c>
    </x:row>
    <x:row r="174">
      <x:c r="A174" s="11" t="str">
        <x:v>github</x:v>
      </x:c>
      <x:c r="B174" s="11" t="str">
        <x:v>Neuroca-Inc/rustruct</x:v>
      </x:c>
      <x:c r="C174" s="11" t="str">
        <x:v>Interactive Rust project scaffolding tool. Answer a few questions, learn the reasoning behind each choice, start from a </x:v>
      </x:c>
      <x:c r="D174" s="11" t="str">
        <x:v>2026-08-19</x:v>
      </x:c>
      <x:c r="E174" s="11" t="str"/>
      <x:c r="F174" s="11" t="str"/>
      <x:c r="G174" s="11" t="str"/>
      <x:c r="H174" s="11" t="str"/>
      <x:c r="I174" s="11" t="str"/>
      <x:c r="J174" s="11" t="str">
        <x:v>0</x:v>
      </x:c>
      <x:c r="K174" s="11" t="str">
        <x:v>0</x:v>
      </x:c>
      <x:c r="L174" s="11" t="str">
        <x:v>https://github.com/Neuroca-Inc/rustruct</x:v>
      </x:c>
    </x:row>
    <x:row r="175">
      <x:c r="A175" s="11" t="str">
        <x:v>github</x:v>
      </x:c>
      <x:c r="B175" s="11" t="str">
        <x:v>Neuroca-Inc/ephemeris</x:v>
      </x:c>
      <x:c r="C175" s="11" t="str">
        <x:v>Lightweight Linux CLI for running arbitrary commands on demand or on a schedule while preserving each execution as a tim</x:v>
      </x:c>
      <x:c r="D175" s="11" t="str">
        <x:v>2026-08-26</x:v>
      </x:c>
      <x:c r="E175" s="11" t="str"/>
      <x:c r="F175" s="11" t="str"/>
      <x:c r="G175" s="11" t="str"/>
      <x:c r="H175" s="11" t="str"/>
      <x:c r="I175" s="11" t="str"/>
      <x:c r="J175" s="11" t="str">
        <x:v>0</x:v>
      </x:c>
      <x:c r="K175" s="11" t="str">
        <x:v>0</x:v>
      </x:c>
      <x:c r="L175" s="11" t="str">
        <x:v>https://github.com/Neuroca-Inc/ephemeris</x:v>
      </x:c>
    </x:row>
    <x:row r="176">
      <x:c r="A176" s="11" t="str">
        <x:v>github</x:v>
      </x:c>
      <x:c r="B176" s="11" t="str">
        <x:v>Neuroca-Inc/beacon</x:v>
      </x:c>
      <x:c r="C176" s="11" t="str">
        <x:v>Local repository indexing and querying tool.</x:v>
      </x:c>
      <x:c r="D176" s="11" t="str">
        <x:v>2026-08-22</x:v>
      </x:c>
      <x:c r="E176" s="11" t="str"/>
      <x:c r="F176" s="11" t="str"/>
      <x:c r="G176" s="11" t="str"/>
      <x:c r="H176" s="11" t="str"/>
      <x:c r="I176" s="11" t="str"/>
      <x:c r="J176" s="11" t="str">
        <x:v>0</x:v>
      </x:c>
      <x:c r="K176" s="11" t="str">
        <x:v>0</x:v>
      </x:c>
      <x:c r="L176" s="11" t="str">
        <x:v>https://github.com/Neuroca-Inc/beacon</x:v>
      </x:c>
    </x:row>
    <x:row r="177">
      <x:c r="A177" s="11" t="str">
        <x:v>github</x:v>
      </x:c>
      <x:c r="B177" s="11" t="str">
        <x:v>Neuroca-Inc/Perfect_Prompts</x:v>
      </x:c>
      <x:c r="C177" s="11" t="str">
        <x:v>A filesystem-first library for prompt engineering, context engineering, agent control, reusable AI workflows, research m</x:v>
      </x:c>
      <x:c r="D177" s="11" t="str">
        <x:v>2026-08-24</x:v>
      </x:c>
      <x:c r="E177" s="11" t="str"/>
      <x:c r="F177" s="11" t="str"/>
      <x:c r="G177" s="11" t="str"/>
      <x:c r="H177" s="11" t="str"/>
      <x:c r="I177" s="11" t="str"/>
      <x:c r="J177" s="11" t="str">
        <x:v>0</x:v>
      </x:c>
      <x:c r="K177" s="11" t="str">
        <x:v>0</x:v>
      </x:c>
      <x:c r="L177" s="11" t="str">
        <x:v>https://github.com/Neuroca-Inc/Perfect_Prompts</x:v>
      </x:c>
    </x:row>
    <x:row r="178">
      <x:c r="A178" s="11" t="str">
        <x:v>github</x:v>
      </x:c>
      <x:c r="B178" s="11" t="str">
        <x:v>Neuroca-Inc/equamorph</x:v>
      </x:c>
      <x:c r="C178" s="11" t="str">
        <x:v>Transform, normalize, extract, and compile mathematical expressions across LaTeX, MathJax, ASCII, Unicode, Python, and R</x:v>
      </x:c>
      <x:c r="D178" s="11" t="str">
        <x:v>2026-08-24</x:v>
      </x:c>
      <x:c r="E178" s="11" t="str"/>
      <x:c r="F178" s="11" t="str"/>
      <x:c r="G178" s="11" t="str"/>
      <x:c r="H178" s="11" t="str"/>
      <x:c r="I178" s="11" t="str"/>
      <x:c r="J178" s="11" t="str">
        <x:v>0</x:v>
      </x:c>
      <x:c r="K178" s="11" t="str">
        <x:v>0</x:v>
      </x:c>
      <x:c r="L178" s="11" t="str">
        <x:v>https://github.com/Neuroca-Inc/equamorph</x:v>
      </x:c>
    </x:row>
    <x:row r="179">
      <x:c r="A179" s="11" t="str">
        <x:v>github</x:v>
      </x:c>
      <x:c r="B179" s="11" t="str">
        <x:v>Neuroca-Inc/vll_organism</x:v>
      </x:c>
      <x:c r="C179" s="11" t="str">
        <x:v>A local, persistent knowledge organism for text/Markdown files featuring sparse graph dynamics, source-atomic ingestion,</x:v>
      </x:c>
      <x:c r="D179" s="11" t="str">
        <x:v>2026-08-26</x:v>
      </x:c>
      <x:c r="E179" s="11" t="str"/>
      <x:c r="F179" s="11" t="str"/>
      <x:c r="G179" s="11" t="str"/>
      <x:c r="H179" s="11" t="str"/>
      <x:c r="I179" s="11" t="str"/>
      <x:c r="J179" s="11" t="str">
        <x:v>1</x:v>
      </x:c>
      <x:c r="K179" s="11" t="str">
        <x:v>0</x:v>
      </x:c>
      <x:c r="L179" s="11" t="str">
        <x:v>https://github.com/Neuroca-Inc/vll_organism</x:v>
      </x:c>
    </x:row>
    <x:row r="180">
      <x:c r="A180" s="11" t="str">
        <x:v>github</x:v>
      </x:c>
      <x:c r="B180" s="11" t="str">
        <x:v>Neuroca-Inc/voidkit</x:v>
      </x:c>
      <x:c r="C180" s="11" t="str">
        <x:v>Research-derived mathematics and scientific computing tools from Neuroca, including numerical methods, exact algebra, dy</x:v>
      </x:c>
      <x:c r="D180" s="11" t="str">
        <x:v>2026-08-26</x:v>
      </x:c>
      <x:c r="E180" s="11" t="str"/>
      <x:c r="F180" s="11" t="str"/>
      <x:c r="G180" s="11" t="str"/>
      <x:c r="H180" s="11" t="str"/>
      <x:c r="I180" s="11" t="str"/>
      <x:c r="J180" s="11" t="str">
        <x:v>0</x:v>
      </x:c>
      <x:c r="K180" s="11" t="str">
        <x:v>0</x:v>
      </x:c>
      <x:c r="L180" s="11" t="str">
        <x:v>https://github.com/Neuroca-Inc/voidkit</x:v>
      </x:c>
    </x:row>
    <x:row r="181">
      <x:c r="A181" s="11" t="str">
        <x:v>github</x:v>
      </x:c>
      <x:c r="B181" s="11" t="str">
        <x:v>Neuroca-Inc/vdm-logistic-solver</x:v>
      </x:c>
      <x:c r="C181" s="11" t="str">
        <x:v>A small installable interface around the exact logistic on-site reaction step and logarithmic invariant used in the VDM </x:v>
      </x:c>
      <x:c r="D181" s="11" t="str">
        <x:v>2026-08-26</x:v>
      </x:c>
      <x:c r="E181" s="11" t="str"/>
      <x:c r="F181" s="11" t="str"/>
      <x:c r="G181" s="11" t="str"/>
      <x:c r="H181" s="11" t="str"/>
      <x:c r="I181" s="11" t="str"/>
      <x:c r="J181" s="11" t="str">
        <x:v>0</x:v>
      </x:c>
      <x:c r="K181" s="11" t="str">
        <x:v>0</x:v>
      </x:c>
      <x:c r="L181" s="11" t="str">
        <x:v>https://github.com/Neuroca-Inc/vdm-logistic-solver</x:v>
      </x:c>
    </x:row>
    <x:row r="182">
      <x:c r="A182" s="11" t="str">
        <x:v>github</x:v>
      </x:c>
      <x:c r="B182" s="11" t="str">
        <x:v>Neuroca-Inc/vdm-ceg-instrument</x:v>
      </x:c>
      <x:c r="C182" s="11" t="str">
        <x:v>Gate-certified Counterfactual Echo Gain instrumentation for VDM metriplectic assisted-echo experiments.</x:v>
      </x:c>
      <x:c r="D182" s="11" t="str">
        <x:v>2026-08-26</x:v>
      </x:c>
      <x:c r="E182" s="11" t="str"/>
      <x:c r="F182" s="11" t="str"/>
      <x:c r="G182" s="11" t="str"/>
      <x:c r="H182" s="11" t="str"/>
      <x:c r="I182" s="11" t="str"/>
      <x:c r="J182" s="11" t="str">
        <x:v>0</x:v>
      </x:c>
      <x:c r="K182" s="11" t="str">
        <x:v>0</x:v>
      </x:c>
      <x:c r="L182" s="11" t="str">
        <x:v>https://github.com/Neuroca-Inc/vdm-ceg-instrument</x:v>
      </x:c>
    </x:row>
    <x:row r="183">
      <x:c r="A183" s="11" t="str">
        <x:v>github</x:v>
      </x:c>
      <x:c r="B183" s="11" t="str">
        <x:v>Neuroca-Inc/vdm-provenance-helper</x:v>
      </x:c>
      <x:c r="C183" s="11" t="str">
        <x:v>Neuroca provenance tooling for reproducible research packages, integrity manifests, publication metadata, and independen</x:v>
      </x:c>
      <x:c r="D183" s="11" t="str">
        <x:v>2026-08-26</x:v>
      </x:c>
      <x:c r="E183" s="11" t="str"/>
      <x:c r="F183" s="11" t="str"/>
      <x:c r="G183" s="11" t="str"/>
      <x:c r="H183" s="11" t="str"/>
      <x:c r="I183" s="11" t="str"/>
      <x:c r="J183" s="11" t="str">
        <x:v>0</x:v>
      </x:c>
      <x:c r="K183" s="11" t="str">
        <x:v>0</x:v>
      </x:c>
      <x:c r="L183" s="11" t="str">
        <x:v>https://github.com/Neuroca-Inc/vdm-provenance-helper</x:v>
      </x:c>
    </x:row>
    <x:row r="184">
      <x:c r="A184" s="11" t="str">
        <x:v>github</x:v>
      </x:c>
      <x:c r="B184" s="11" t="str">
        <x:v>Neuroca-Inc/rok</x:v>
      </x:c>
      <x:c r="C184" s="11" t="str">
        <x:v>Portable offline Rust build and validation kits for AI agents, disconnected environments, and reproducible development.</x:v>
      </x:c>
      <x:c r="D184" s="11" t="str">
        <x:v>2026-08-28</x:v>
      </x:c>
      <x:c r="E184" s="11" t="str"/>
      <x:c r="F184" s="11" t="str"/>
      <x:c r="G184" s="11" t="str"/>
      <x:c r="H184" s="11" t="str"/>
      <x:c r="I184" s="11" t="str"/>
      <x:c r="J184" s="11" t="str">
        <x:v>0</x:v>
      </x:c>
      <x:c r="K184" s="11" t="str">
        <x:v>0</x:v>
      </x:c>
      <x:c r="L184" s="11" t="str">
        <x:v>https://github.com/Neuroca-Inc/rok</x:v>
      </x:c>
    </x:row>
    <x:row r="185">
      <x:c r="A185" s="11" t="str">
        <x:v>github</x:v>
      </x:c>
      <x:c r="B185" s="11" t="str">
        <x:v>Neuroca-Inc/axiter</x:v>
      </x:c>
      <x:c r="C185" s="11" t="str">
        <x:v>Excitable-neuron path retrieval: beam search over a graph where node score is similarity plus excitation plus novelty mi</x:v>
      </x:c>
      <x:c r="D185" s="11" t="str">
        <x:v>2026-08-28</x:v>
      </x:c>
      <x:c r="E185" s="11" t="str"/>
      <x:c r="F185" s="11" t="str"/>
      <x:c r="G185" s="11" t="str"/>
      <x:c r="H185" s="11" t="str"/>
      <x:c r="I185" s="11" t="str"/>
      <x:c r="J185" s="11" t="str">
        <x:v>0</x:v>
      </x:c>
      <x:c r="K185" s="11" t="str">
        <x:v>0</x:v>
      </x:c>
      <x:c r="L185" s="11" t="str">
        <x:v>https://github.com/Neuroca-Inc/axiter</x:v>
      </x:c>
    </x:row>
    <x:row r="186">
      <x:c r="A186" s="11" t="str">
        <x:v>github</x:v>
      </x:c>
      <x:c r="B186" s="11" t="str">
        <x:v>Neuroca-Inc/corpex</x:v>
      </x:c>
      <x:c r="C186" s="11" t="str">
        <x:v>Read-only repository miner that builds a corpus of excerpts. Extracts reusable prompts, instructions, personas, skills, </x:v>
      </x:c>
      <x:c r="D186" s="11" t="str">
        <x:v>2026-08-28</x:v>
      </x:c>
      <x:c r="E186" s="11" t="str"/>
      <x:c r="F186" s="11" t="str"/>
      <x:c r="G186" s="11" t="str"/>
      <x:c r="H186" s="11" t="str"/>
      <x:c r="I186" s="11" t="str"/>
      <x:c r="J186" s="11" t="str">
        <x:v>0</x:v>
      </x:c>
      <x:c r="K186" s="11" t="str">
        <x:v>0</x:v>
      </x:c>
      <x:c r="L186" s="11" t="str">
        <x:v>https://github.com/Neuroca-Inc/corpex</x:v>
      </x:c>
    </x:row>
    <x:row r="187">
      <x:c r="A187" s="11" t="str">
        <x:v>github</x:v>
      </x:c>
      <x:c r="B187" s="11" t="str">
        <x:v>Neuroca-Inc/notarius</x:v>
      </x:c>
      <x:c r="C187" s="11" t="str">
        <x:v>The clerk that records and authenticates a tree. Create immutable, machine-verifiable manifests of any repository or dir</x:v>
      </x:c>
      <x:c r="D187" s="11" t="str">
        <x:v>2026-08-29</x:v>
      </x:c>
      <x:c r="E187" s="11" t="str"/>
      <x:c r="F187" s="11" t="str"/>
      <x:c r="G187" s="11" t="str"/>
      <x:c r="H187" s="11" t="str"/>
      <x:c r="I187" s="11" t="str"/>
      <x:c r="J187" s="11" t="str">
        <x:v>0</x:v>
      </x:c>
      <x:c r="K187" s="11" t="str">
        <x:v>0</x:v>
      </x:c>
      <x:c r="L187" s="11" t="str">
        <x:v>https://github.com/Neuroca-Inc/notarius</x:v>
      </x:c>
    </x:row>
    <x:row r="188">
      <x:c r="A188" s="11" t="str">
        <x:v>github</x:v>
      </x:c>
      <x:c r="B188" s="11" t="str">
        <x:v>Neuroca-Inc/reach</x:v>
      </x:c>
      <x:c r="C188" s="11" t="str">
        <x:v>One-command distribution snapshot across Zenodo, Hugging Face and GitHub. Separates unique from raw counts so you can se</x:v>
      </x:c>
      <x:c r="D188" s="11" t="str">
        <x:v>2026-08-28</x:v>
      </x:c>
      <x:c r="E188" s="11" t="str"/>
      <x:c r="F188" s="11" t="str"/>
      <x:c r="G188" s="11" t="str"/>
      <x:c r="H188" s="11" t="str"/>
      <x:c r="I188" s="11" t="str"/>
      <x:c r="J188" s="11" t="str">
        <x:v>0</x:v>
      </x:c>
      <x:c r="K188" s="11" t="str">
        <x:v>0</x:v>
      </x:c>
      <x:c r="L188" s="11" t="str">
        <x:v>https://github.com/Neuroca-Inc/reach</x:v>
      </x:c>
    </x:row>
    <x:row r="189">
      <x:c r="A189" s="11" t="str">
        <x:v>github</x:v>
      </x:c>
      <x:c r="B189" s="11" t="str">
        <x:v>Neuroca-Inc/Chronica</x:v>
      </x:c>
      <x:c r="C189" s="11" t="str">
        <x:v>Reclaim ChatGPT history directly, import official exports, keep the archive incrementally current, search it lexically o</x:v>
      </x:c>
      <x:c r="D189" s="11" t="str">
        <x:v>2026-08-29</x:v>
      </x:c>
      <x:c r="E189" s="11" t="str"/>
      <x:c r="F189" s="11" t="str"/>
      <x:c r="G189" s="11" t="str"/>
      <x:c r="H189" s="11" t="str"/>
      <x:c r="I189" s="11" t="str"/>
      <x:c r="J189" s="11" t="str">
        <x:v>0</x:v>
      </x:c>
      <x:c r="K189" s="11" t="str">
        <x:v>0</x:v>
      </x:c>
      <x:c r="L189" s="11" t="str">
        <x:v>https://github.com/Neuroca-Inc/Chronica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2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0" hidden="0" customWidth="1"/>
    <x:col min="11" max="11" width="10" hidden="0" customWidth="1"/>
    <x:col min="12" max="12" width="55" hidden="0" customWidth="1"/>
  </x:cols>
  <x:sheetData>
    <x:row r="1">
      <x:c r="A1" s="41" t="str">
        <x:v>source</x:v>
      </x:c>
      <x:c r="B1" s="41" t="str">
        <x:v>identifier</x:v>
      </x:c>
      <x:c r="C1" s="41" t="str">
        <x:v>title</x:v>
      </x:c>
      <x:c r="D1" s="41" t="str">
        <x:v>date</x:v>
      </x:c>
      <x:c r="E1" s="41" t="str">
        <x:v>views</x:v>
      </x:c>
      <x:c r="F1" s="41" t="str">
        <x:v>unique_views</x:v>
      </x:c>
      <x:c r="G1" s="41" t="str">
        <x:v>downloads</x:v>
      </x:c>
      <x:c r="H1" s="41" t="str">
        <x:v>unique_downloads</x:v>
      </x:c>
      <x:c r="I1" s="41" t="str">
        <x:v>human_ratio</x:v>
      </x:c>
      <x:c r="J1" s="41" t="str">
        <x:v>stars</x:v>
      </x:c>
      <x:c r="K1" s="41" t="str">
        <x:v>forks</x:v>
      </x:c>
      <x:c r="L1" s="41" t="str">
        <x:v>url</x:v>
      </x:c>
    </x:row>
    <x:row r="2">
      <x:c r="A2" s="11" t="str">
        <x:v>zenodo</x:v>
      </x:c>
      <x:c r="B2" s="11" t="str">
        <x:v>10.5281/zenodo.19155030</x:v>
      </x:c>
      <x:c r="C2" s="11" t="str">
        <x:v>Theoretical Foundations for the Adaptive Modular Network</x:v>
      </x:c>
      <x:c r="D2" s="11" t="str">
        <x:v>2025-01-08</x:v>
      </x:c>
      <x:c r="E2" s="11" t="str">
        <x:v>26</x:v>
      </x:c>
      <x:c r="F2" s="11" t="str">
        <x:v>26</x:v>
      </x:c>
      <x:c r="G2" s="11" t="str">
        <x:v>20</x:v>
      </x:c>
      <x:c r="H2" s="11" t="str">
        <x:v>19</x:v>
      </x:c>
      <x:c r="I2" s="11" t="str">
        <x:v>0.95</x:v>
      </x:c>
      <x:c r="J2" s="11" t="str"/>
      <x:c r="K2" s="11" t="str"/>
      <x:c r="L2" s="11" t="str">
        <x:v>https://zenodo.org/records/19155030</x:v>
      </x:c>
    </x:row>
    <x:row r="3">
      <x:c r="A3" s="11" t="str">
        <x:v>zenodo</x:v>
      </x:c>
      <x:c r="B3" s="11" t="str">
        <x:v>10.5281/zenodo.19155003</x:v>
      </x:c>
      <x:c r="C3" s="11" t="str">
        <x:v>Self Improvement Engine Stability Analysis Framework</x:v>
      </x:c>
      <x:c r="D3" s="11" t="str">
        <x:v>2025-04-02</x:v>
      </x:c>
      <x:c r="E3" s="11" t="str">
        <x:v>28</x:v>
      </x:c>
      <x:c r="F3" s="11" t="str">
        <x:v>28</x:v>
      </x:c>
      <x:c r="G3" s="11" t="str">
        <x:v>20</x:v>
      </x:c>
      <x:c r="H3" s="11" t="str">
        <x:v>20</x:v>
      </x:c>
      <x:c r="I3" s="11" t="str">
        <x:v>1</x:v>
      </x:c>
      <x:c r="J3" s="11" t="str"/>
      <x:c r="K3" s="11" t="str"/>
      <x:c r="L3" s="11" t="str">
        <x:v>https://zenodo.org/records/19155003</x:v>
      </x:c>
    </x:row>
    <x:row r="4">
      <x:c r="A4" s="11" t="str">
        <x:v>zenodo</x:v>
      </x:c>
      <x:c r="B4" s="11" t="str">
        <x:v>10.5281/zenodo.17220869</x:v>
      </x:c>
      <x:c r="C4" s="11" t="str">
        <x:v>A Logarithmic First Integral for the Logistic On Site Law in Void Dynamics</x:v>
      </x:c>
      <x:c r="D4" s="11" t="str">
        <x:v>2025-09-29</x:v>
      </x:c>
      <x:c r="E4" s="11" t="str">
        <x:v>375</x:v>
      </x:c>
      <x:c r="F4" s="11" t="str">
        <x:v>312</x:v>
      </x:c>
      <x:c r="G4" s="11" t="str">
        <x:v>610</x:v>
      </x:c>
      <x:c r="H4" s="11" t="str">
        <x:v>507</x:v>
      </x:c>
      <x:c r="I4" s="11" t="str">
        <x:v>0.831</x:v>
      </x:c>
      <x:c r="J4" s="11" t="str"/>
      <x:c r="K4" s="11" t="str"/>
      <x:c r="L4" s="11" t="str">
        <x:v>https://zenodo.org/records/17220869</x:v>
      </x:c>
    </x:row>
    <x:row r="5">
      <x:c r="A5" s="11" t="str">
        <x:v>zenodo</x:v>
      </x:c>
      <x:c r="B5" s="11" t="str">
        <x:v>10.5281/zenodo.17455491</x:v>
      </x:c>
      <x:c r="C5" s="11" t="str">
        <x:v>A Logarithmic First Integral for the Logistic On Site Law in Void Dynamics</x:v>
      </x:c>
      <x:c r="D5" s="11" t="str">
        <x:v>2025-10-27</x:v>
      </x:c>
      <x:c r="E5" s="11" t="str">
        <x:v>7</x:v>
      </x:c>
      <x:c r="F5" s="11" t="str">
        <x:v>7</x:v>
      </x:c>
      <x:c r="G5" s="11" t="str">
        <x:v>9</x:v>
      </x:c>
      <x:c r="H5" s="11" t="str">
        <x:v>9</x:v>
      </x:c>
      <x:c r="I5" s="11" t="str">
        <x:v>1</x:v>
      </x:c>
      <x:c r="J5" s="11" t="str"/>
      <x:c r="K5" s="11" t="str"/>
      <x:c r="L5" s="11" t="str">
        <x:v>https://zenodo.org/records/17455491</x:v>
      </x:c>
    </x:row>
    <x:row r="6">
      <x:c r="A6" s="11" t="str">
        <x:v>zenodo</x:v>
      </x:c>
      <x:c r="B6" s="11" t="str">
        <x:v>10.5281/zenodo.17508502</x:v>
      </x:c>
      <x:c r="C6" s="11" t="str">
        <x:v>The Lietz Infinity Resolution Conjecture: Hierarchical Scale-Breaking in Tachyonic Metriplectic Systems</x:v>
      </x:c>
      <x:c r="D6" s="11" t="str">
        <x:v>2025-11-01</x:v>
      </x:c>
      <x:c r="E6" s="11" t="str">
        <x:v>162</x:v>
      </x:c>
      <x:c r="F6" s="11" t="str">
        <x:v>155</x:v>
      </x:c>
      <x:c r="G6" s="11" t="str">
        <x:v>159</x:v>
      </x:c>
      <x:c r="H6" s="11" t="str">
        <x:v>139</x:v>
      </x:c>
      <x:c r="I6" s="11" t="str">
        <x:v>0.874</x:v>
      </x:c>
      <x:c r="J6" s="11" t="str"/>
      <x:c r="K6" s="11" t="str"/>
      <x:c r="L6" s="11" t="str">
        <x:v>https://zenodo.org/records/17508502</x:v>
      </x:c>
    </x:row>
    <x:row r="7">
      <x:c r="A7" s="11" t="str">
        <x:v>zenodo</x:v>
      </x:c>
      <x:c r="B7" s="11" t="str">
        <x:v>10.5281/zenodo.17508148</x:v>
      </x:c>
      <x:c r="C7" s="11" t="str">
        <x:v>The Lietz Infinity Resolution Conjecture: Hierarchical Scale-Breaking in Tachyonic Metriplectic Systems</x:v>
      </x:c>
      <x:c r="D7" s="11" t="str">
        <x:v>2025-11-01</x:v>
      </x:c>
      <x:c r="E7" s="11" t="str">
        <x:v>25</x:v>
      </x:c>
      <x:c r="F7" s="11" t="str">
        <x:v>25</x:v>
      </x:c>
      <x:c r="G7" s="11" t="str">
        <x:v>15</x:v>
      </x:c>
      <x:c r="H7" s="11" t="str">
        <x:v>15</x:v>
      </x:c>
      <x:c r="I7" s="11" t="str">
        <x:v>1</x:v>
      </x:c>
      <x:c r="J7" s="11" t="str"/>
      <x:c r="K7" s="11" t="str"/>
      <x:c r="L7" s="11" t="str">
        <x:v>https://zenodo.org/records/17508148</x:v>
      </x:c>
    </x:row>
    <x:row r="8">
      <x:c r="A8" s="11" t="str">
        <x:v>zenodo</x:v>
      </x:c>
      <x:c r="B8" s="11" t="str">
        <x:v>10.5281/zenodo.17503344</x:v>
      </x:c>
      <x:c r="C8" s="11" t="str">
        <x:v>The Lietz Infinity Resolution Conjecture: Hierarchical Scale-Breaking in Tachyonic Metriplectic Systems</x:v>
      </x:c>
      <x:c r="D8" s="11" t="str">
        <x:v>2025-11-01</x:v>
      </x:c>
      <x:c r="E8" s="11" t="str">
        <x:v>53</x:v>
      </x:c>
      <x:c r="F8" s="11" t="str">
        <x:v>48</x:v>
      </x:c>
      <x:c r="G8" s="11" t="str">
        <x:v>55</x:v>
      </x:c>
      <x:c r="H8" s="11" t="str">
        <x:v>46</x:v>
      </x:c>
      <x:c r="I8" s="11" t="str">
        <x:v>0.836</x:v>
      </x:c>
      <x:c r="J8" s="11" t="str"/>
      <x:c r="K8" s="11" t="str"/>
      <x:c r="L8" s="11" t="str">
        <x:v>https://zenodo.org/records/17503344</x:v>
      </x:c>
    </x:row>
    <x:row r="9">
      <x:c r="A9" s="11" t="str">
        <x:v>zenodo</x:v>
      </x:c>
      <x:c r="B9" s="11" t="str">
        <x:v>10.5281/zenodo.19155667</x:v>
      </x:c>
      <x:c r="C9" s="11" t="str">
        <x:v>The Lietz Infinity Resolution Conjecture: Logarithmic Hierarchical Interfaces as the Tachyonic Pulled-Front Re-Expression of the Primitive Invariant</x:v>
      </x:c>
      <x:c r="D9" s="11" t="str">
        <x:v>2025-11-02</x:v>
      </x:c>
      <x:c r="E9" s="11" t="str">
        <x:v>90</x:v>
      </x:c>
      <x:c r="F9" s="11" t="str">
        <x:v>87</x:v>
      </x:c>
      <x:c r="G9" s="11" t="str">
        <x:v>45</x:v>
      </x:c>
      <x:c r="H9" s="11" t="str">
        <x:v>42</x:v>
      </x:c>
      <x:c r="I9" s="11" t="str">
        <x:v>0.933</x:v>
      </x:c>
      <x:c r="J9" s="11" t="str"/>
      <x:c r="K9" s="11" t="str"/>
      <x:c r="L9" s="11" t="str">
        <x:v>https://zenodo.org/records/19155667</x:v>
      </x:c>
    </x:row>
    <x:row r="10">
      <x:c r="A10" s="11" t="str">
        <x:v>zenodo</x:v>
      </x:c>
      <x:c r="B10" s="11" t="str">
        <x:v>10.5281/zenodo.18675311</x:v>
      </x:c>
      <x:c r="C10" s="11" t="str">
        <x:v>CF10: Complete Formalism — VDM Lattice Hydrodynamics, Continuum Limit, and Regularity Program</x:v>
      </x:c>
      <x:c r="D10" s="11" t="str">
        <x:v>2026-02-17</x:v>
      </x:c>
      <x:c r="E10" s="11" t="str">
        <x:v>18</x:v>
      </x:c>
      <x:c r="F10" s="11" t="str">
        <x:v>17</x:v>
      </x:c>
      <x:c r="G10" s="11" t="str">
        <x:v>6</x:v>
      </x:c>
      <x:c r="H10" s="11" t="str">
        <x:v>5</x:v>
      </x:c>
      <x:c r="I10" s="11" t="str">
        <x:v>0.833</x:v>
      </x:c>
      <x:c r="J10" s="11" t="str"/>
      <x:c r="K10" s="11" t="str"/>
      <x:c r="L10" s="11" t="str">
        <x:v>https://zenodo.org/records/18675311</x:v>
      </x:c>
    </x:row>
    <x:row r="11">
      <x:c r="A11" s="11" t="str">
        <x:v>zenodo</x:v>
      </x:c>
      <x:c r="B11" s="11" t="str">
        <x:v>10.5281/zenodo.18676423</x:v>
      </x:c>
      <x:c r="C11" s="11" t="str">
        <x:v>CF10: VDM Lattice Hydrodynamics, Continuum Limit, and Regularity Program</x:v>
      </x:c>
      <x:c r="D11" s="11" t="str">
        <x:v>2026-02-17</x:v>
      </x:c>
      <x:c r="E11" s="11" t="str">
        <x:v>25</x:v>
      </x:c>
      <x:c r="F11" s="11" t="str">
        <x:v>23</x:v>
      </x:c>
      <x:c r="G11" s="11" t="str">
        <x:v>20</x:v>
      </x:c>
      <x:c r="H11" s="11" t="str">
        <x:v>19</x:v>
      </x:c>
      <x:c r="I11" s="11" t="str">
        <x:v>0.95</x:v>
      </x:c>
      <x:c r="J11" s="11" t="str"/>
      <x:c r="K11" s="11" t="str"/>
      <x:c r="L11" s="11" t="str">
        <x:v>https://zenodo.org/records/18676423</x:v>
      </x:c>
    </x:row>
    <x:row r="12">
      <x:c r="A12" s="11" t="str">
        <x:v>zenodo</x:v>
      </x:c>
      <x:c r="B12" s="11" t="str">
        <x:v>10.5281/zenodo.19010844</x:v>
      </x:c>
      <x:c r="C12" s="11" t="str">
        <x:v>Branch Relative Origin Resolution</x:v>
      </x:c>
      <x:c r="D12" s="11" t="str">
        <x:v>2026-03-14</x:v>
      </x:c>
      <x:c r="E12" s="11" t="str">
        <x:v>85</x:v>
      </x:c>
      <x:c r="F12" s="11" t="str">
        <x:v>83</x:v>
      </x:c>
      <x:c r="G12" s="11" t="str">
        <x:v>46</x:v>
      </x:c>
      <x:c r="H12" s="11" t="str">
        <x:v>43</x:v>
      </x:c>
      <x:c r="I12" s="11" t="str">
        <x:v>0.935</x:v>
      </x:c>
      <x:c r="J12" s="11" t="str"/>
      <x:c r="K12" s="11" t="str"/>
      <x:c r="L12" s="11" t="str">
        <x:v>https://zenodo.org/records/19010844</x:v>
      </x:c>
    </x:row>
    <x:row r="13">
      <x:c r="A13" s="11" t="str">
        <x:v>zenodo</x:v>
      </x:c>
      <x:c r="B13" s="11" t="str">
        <x:v>10.5281/zenodo.19644143</x:v>
      </x:c>
      <x:c r="C13" s="11" t="str">
        <x:v>CF000: Primitive Distinguishability and Orthogonal Articulation</x:v>
      </x:c>
      <x:c r="D13" s="11" t="str">
        <x:v>2026-03-18</x:v>
      </x:c>
      <x:c r="E13" s="11" t="str">
        <x:v>46</x:v>
      </x:c>
      <x:c r="F13" s="11" t="str">
        <x:v>46</x:v>
      </x:c>
      <x:c r="G13" s="11" t="str">
        <x:v>119</x:v>
      </x:c>
      <x:c r="H13" s="11" t="str">
        <x:v>115</x:v>
      </x:c>
      <x:c r="I13" s="11" t="str">
        <x:v>0.966</x:v>
      </x:c>
      <x:c r="J13" s="11" t="str"/>
      <x:c r="K13" s="11" t="str"/>
      <x:c r="L13" s="11" t="str">
        <x:v>https://zenodo.org/records/19644143</x:v>
      </x:c>
    </x:row>
    <x:row r="14">
      <x:c r="A14" s="11" t="str">
        <x:v>zenodo</x:v>
      </x:c>
      <x:c r="B14" s="11" t="str">
        <x:v>10.5281/zenodo.19098778</x:v>
      </x:c>
      <x:c r="C14" s="11" t="str">
        <x:v>CF000: Primitive Distinguishability and Orthogonal Articulation</x:v>
      </x:c>
      <x:c r="D14" s="11" t="str">
        <x:v>2026-03-18</x:v>
      </x:c>
      <x:c r="E14" s="11" t="str">
        <x:v>38</x:v>
      </x:c>
      <x:c r="F14" s="11" t="str">
        <x:v>33</x:v>
      </x:c>
      <x:c r="G14" s="11" t="str">
        <x:v>37</x:v>
      </x:c>
      <x:c r="H14" s="11" t="str">
        <x:v>28</x:v>
      </x:c>
      <x:c r="I14" s="11" t="str">
        <x:v>0.757</x:v>
      </x:c>
      <x:c r="J14" s="11" t="str"/>
      <x:c r="K14" s="11" t="str"/>
      <x:c r="L14" s="11" t="str">
        <x:v>https://zenodo.org/records/19098778</x:v>
      </x:c>
    </x:row>
    <x:row r="15">
      <x:c r="A15" s="11" t="str">
        <x:v>zenodo</x:v>
      </x:c>
      <x:c r="B15" s="11" t="str">
        <x:v>10.5281/zenodo.19806286</x:v>
      </x:c>
      <x:c r="C15" s="11" t="str">
        <x:v>CF10: VDM Lattice Hydrodynamics, Continuum Limit, and Regularity Program</x:v>
      </x:c>
      <x:c r="D15" s="11" t="str">
        <x:v>2026-03-22</x:v>
      </x:c>
      <x:c r="E15" s="11" t="str">
        <x:v>33</x:v>
      </x:c>
      <x:c r="F15" s="11" t="str">
        <x:v>30</x:v>
      </x:c>
      <x:c r="G15" s="11" t="str">
        <x:v>101</x:v>
      </x:c>
      <x:c r="H15" s="11" t="str">
        <x:v>99</x:v>
      </x:c>
      <x:c r="I15" s="11" t="str">
        <x:v>0.98</x:v>
      </x:c>
      <x:c r="J15" s="11" t="str"/>
      <x:c r="K15" s="11" t="str"/>
      <x:c r="L15" s="11" t="str">
        <x:v>https://zenodo.org/records/19806286</x:v>
      </x:c>
    </x:row>
    <x:row r="16">
      <x:c r="A16" s="11" t="str">
        <x:v>zenodo</x:v>
      </x:c>
      <x:c r="B16" s="11" t="str">
        <x:v>10.5281/zenodo.19804479</x:v>
      </x:c>
      <x:c r="C16" s="11" t="str">
        <x:v>CF10: VDM Lattice Hydrodynamics, Continuum Limit, and Regularity Program</x:v>
      </x:c>
      <x:c r="D16" s="11" t="str">
        <x:v>2026-03-22</x:v>
      </x:c>
      <x:c r="E16" s="11" t="str">
        <x:v>21</x:v>
      </x:c>
      <x:c r="F16" s="11" t="str">
        <x:v>20</x:v>
      </x:c>
      <x:c r="G16" s="11" t="str">
        <x:v>40</x:v>
      </x:c>
      <x:c r="H16" s="11" t="str">
        <x:v>37</x:v>
      </x:c>
      <x:c r="I16" s="11" t="str">
        <x:v>0.925</x:v>
      </x:c>
      <x:c r="J16" s="11" t="str"/>
      <x:c r="K16" s="11" t="str"/>
      <x:c r="L16" s="11" t="str">
        <x:v>https://zenodo.org/records/19804479</x:v>
      </x:c>
    </x:row>
    <x:row r="17">
      <x:c r="A17" s="11" t="str">
        <x:v>zenodo</x:v>
      </x:c>
      <x:c r="B17" s="11" t="str">
        <x:v>10.5281/zenodo.19163509</x:v>
      </x:c>
      <x:c r="C17" s="11" t="str">
        <x:v>CF10: VDM Lattice Hydrodynamics, Continuum Limit, and Regularity Program</x:v>
      </x:c>
      <x:c r="D17" s="11" t="str">
        <x:v>2026-03-22</x:v>
      </x:c>
      <x:c r="E17" s="11" t="str">
        <x:v>35</x:v>
      </x:c>
      <x:c r="F17" s="11" t="str">
        <x:v>34</x:v>
      </x:c>
      <x:c r="G17" s="11" t="str">
        <x:v>35</x:v>
      </x:c>
      <x:c r="H17" s="11" t="str">
        <x:v>32</x:v>
      </x:c>
      <x:c r="I17" s="11" t="str">
        <x:v>0.914</x:v>
      </x:c>
      <x:c r="J17" s="11" t="str"/>
      <x:c r="K17" s="11" t="str"/>
      <x:c r="L17" s="11" t="str">
        <x:v>https://zenodo.org/records/19163509</x:v>
      </x:c>
    </x:row>
    <x:row r="18">
      <x:c r="A18" s="11" t="str">
        <x:v>zenodo</x:v>
      </x:c>
      <x:c r="B18" s="11" t="str">
        <x:v>10.5281/zenodo.19210954</x:v>
      </x:c>
      <x:c r="C18" s="11" t="str">
        <x:v>Farey Remainder Recursion and Orthogonal Re-Articulation: An Exact Infinity-Resolution Theorem</x:v>
      </x:c>
      <x:c r="D18" s="11" t="str">
        <x:v>2026-03-24</x:v>
      </x:c>
      <x:c r="E18" s="11" t="str">
        <x:v>85</x:v>
      </x:c>
      <x:c r="F18" s="11" t="str">
        <x:v>78</x:v>
      </x:c>
      <x:c r="G18" s="11" t="str">
        <x:v>54</x:v>
      </x:c>
      <x:c r="H18" s="11" t="str">
        <x:v>49</x:v>
      </x:c>
      <x:c r="I18" s="11" t="str">
        <x:v>0.907</x:v>
      </x:c>
      <x:c r="J18" s="11" t="str"/>
      <x:c r="K18" s="11" t="str"/>
      <x:c r="L18" s="11" t="str">
        <x:v>https://zenodo.org/records/19210954</x:v>
      </x:c>
    </x:row>
    <x:row r="19">
      <x:c r="A19" s="11" t="str">
        <x:v>zenodo</x:v>
      </x:c>
      <x:c r="B19" s="11" t="str">
        <x:v>10.5281/zenodo.19242223</x:v>
      </x:c>
      <x:c r="C19" s="11" t="str">
        <x:v>The Full Lifted Object of the Primitive Roll: Exact Balanced-Window Evolution, True Return, π-Position, and the First Completion Bridge</x:v>
      </x:c>
      <x:c r="D19" s="11" t="str">
        <x:v>2026-03-26</x:v>
      </x:c>
      <x:c r="E19" s="11" t="str">
        <x:v>25</x:v>
      </x:c>
      <x:c r="F19" s="11" t="str">
        <x:v>25</x:v>
      </x:c>
      <x:c r="G19" s="11" t="str">
        <x:v>21</x:v>
      </x:c>
      <x:c r="H19" s="11" t="str">
        <x:v>21</x:v>
      </x:c>
      <x:c r="I19" s="11" t="str">
        <x:v>1</x:v>
      </x:c>
      <x:c r="J19" s="11" t="str"/>
      <x:c r="K19" s="11" t="str"/>
      <x:c r="L19" s="11" t="str">
        <x:v>https://zenodo.org/records/19242223</x:v>
      </x:c>
    </x:row>
    <x:row r="20">
      <x:c r="A20" s="11" t="str">
        <x:v>zenodo</x:v>
      </x:c>
      <x:c r="B20" s="11" t="str">
        <x:v>10.5281/zenodo.19267927</x:v>
      </x:c>
      <x:c r="C20" s="11" t="str">
        <x:v>CF19: The Full Lifted Object of the Primitive Roll and Exact Return to Lifted Origin</x:v>
      </x:c>
      <x:c r="D20" s="11" t="str">
        <x:v>2026-03-27</x:v>
      </x:c>
      <x:c r="E20" s="11" t="str">
        <x:v>68</x:v>
      </x:c>
      <x:c r="F20" s="11" t="str">
        <x:v>65</x:v>
      </x:c>
      <x:c r="G20" s="11" t="str">
        <x:v>63</x:v>
      </x:c>
      <x:c r="H20" s="11" t="str">
        <x:v>58</x:v>
      </x:c>
      <x:c r="I20" s="11" t="str">
        <x:v>0.921</x:v>
      </x:c>
      <x:c r="J20" s="11" t="str"/>
      <x:c r="K20" s="11" t="str"/>
      <x:c r="L20" s="11" t="str">
        <x:v>https://zenodo.org/records/19267927</x:v>
      </x:c>
    </x:row>
    <x:row r="21">
      <x:c r="A21" s="11" t="str">
        <x:v>zenodo</x:v>
      </x:c>
      <x:c r="B21" s="11" t="str">
        <x:v>10.5281/zenodo.19380587</x:v>
      </x:c>
      <x:c r="C21" s="11" t="str">
        <x:v>CF000: Primitive Distinguishability and Orthogonal Articulation</x:v>
      </x:c>
      <x:c r="D21" s="11" t="str">
        <x:v>2026-04-01</x:v>
      </x:c>
      <x:c r="E21" s="11" t="str">
        <x:v>92</x:v>
      </x:c>
      <x:c r="F21" s="11" t="str">
        <x:v>89</x:v>
      </x:c>
      <x:c r="G21" s="11" t="str">
        <x:v>64</x:v>
      </x:c>
      <x:c r="H21" s="11" t="str">
        <x:v>60</x:v>
      </x:c>
      <x:c r="I21" s="11" t="str">
        <x:v>0.938</x:v>
      </x:c>
      <x:c r="J21" s="11" t="str"/>
      <x:c r="K21" s="11" t="str"/>
      <x:c r="L21" s="11" t="str">
        <x:v>https://zenodo.org/records/19380587</x:v>
      </x:c>
    </x:row>
    <x:row r="22">
      <x:c r="A22" s="11" t="str">
        <x:v>zenodo</x:v>
      </x:c>
      <x:c r="B22" s="11" t="str">
        <x:v>10.5281/zenodo.19447474</x:v>
      </x:c>
      <x:c r="C22" s="11" t="str">
        <x:v>Phase Calculus - Lifted-State Operator Calculus of the Primitive Roll with Connection Closure and Shadow/Completion Branch</x:v>
      </x:c>
      <x:c r="D22" s="11" t="str">
        <x:v>2026-04-06</x:v>
      </x:c>
      <x:c r="E22" s="11" t="str">
        <x:v>16</x:v>
      </x:c>
      <x:c r="F22" s="11" t="str">
        <x:v>16</x:v>
      </x:c>
      <x:c r="G22" s="11" t="str">
        <x:v>14</x:v>
      </x:c>
      <x:c r="H22" s="11" t="str">
        <x:v>13</x:v>
      </x:c>
      <x:c r="I22" s="11" t="str">
        <x:v>0.929</x:v>
      </x:c>
      <x:c r="J22" s="11" t="str"/>
      <x:c r="K22" s="11" t="str"/>
      <x:c r="L22" s="11" t="str">
        <x:v>https://zenodo.org/records/19447474</x:v>
      </x:c>
    </x:row>
    <x:row r="23">
      <x:c r="A23" s="11" t="str">
        <x:v>zenodo</x:v>
      </x:c>
      <x:c r="B23" s="11" t="str">
        <x:v>10.5281/zenodo.19449044</x:v>
      </x:c>
      <x:c r="C23" s="11" t="str">
        <x:v>Phase Calculus - Lifted-State Operator Calculus of the Primitive Roll with Connection Closure and Shadow/Completion Branch</x:v>
      </x:c>
      <x:c r="D23" s="11" t="str">
        <x:v>2026-04-07</x:v>
      </x:c>
      <x:c r="E23" s="11" t="str">
        <x:v>16</x:v>
      </x:c>
      <x:c r="F23" s="11" t="str">
        <x:v>16</x:v>
      </x:c>
      <x:c r="G23" s="11" t="str">
        <x:v>28</x:v>
      </x:c>
      <x:c r="H23" s="11" t="str">
        <x:v>28</x:v>
      </x:c>
      <x:c r="I23" s="11" t="str">
        <x:v>1</x:v>
      </x:c>
      <x:c r="J23" s="11" t="str"/>
      <x:c r="K23" s="11" t="str"/>
      <x:c r="L23" s="11" t="str">
        <x:v>https://zenodo.org/records/19449044</x:v>
      </x:c>
    </x:row>
    <x:row r="24">
      <x:c r="A24" s="11" t="str">
        <x:v>zenodo</x:v>
      </x:c>
      <x:c r="B24" s="11" t="str">
        <x:v>10.5281/zenodo.19446535</x:v>
      </x:c>
      <x:c r="C24" s="11" t="str">
        <x:v>Phase Calculus - Lifted-State Operator Calculus of the Primitive Roll with Connection Closure and Shadow/Completion Branch</x:v>
      </x:c>
      <x:c r="D24" s="11" t="str">
        <x:v>2026-04-07</x:v>
      </x:c>
      <x:c r="E24" s="11" t="str">
        <x:v>19</x:v>
      </x:c>
      <x:c r="F24" s="11" t="str">
        <x:v>18</x:v>
      </x:c>
      <x:c r="G24" s="11" t="str">
        <x:v>19</x:v>
      </x:c>
      <x:c r="H24" s="11" t="str">
        <x:v>18</x:v>
      </x:c>
      <x:c r="I24" s="11" t="str">
        <x:v>0.947</x:v>
      </x:c>
      <x:c r="J24" s="11" t="str"/>
      <x:c r="K24" s="11" t="str"/>
      <x:c r="L24" s="11" t="str">
        <x:v>https://zenodo.org/records/19446535</x:v>
      </x:c>
    </x:row>
    <x:row r="25">
      <x:c r="A25" s="11" t="str">
        <x:v>zenodo</x:v>
      </x:c>
      <x:c r="B25" s="11" t="str">
        <x:v>10.5281/zenodo.19491529</x:v>
      </x:c>
      <x:c r="C25" s="11" t="str">
        <x:v>Phase Calculus - Lifted-State Operator Calculus of the Primitive Roll with Connection Closure and Shadow/Completion Branch</x:v>
      </x:c>
      <x:c r="D25" s="11" t="str">
        <x:v>2026-04-10</x:v>
      </x:c>
      <x:c r="E25" s="11" t="str">
        <x:v>91</x:v>
      </x:c>
      <x:c r="F25" s="11" t="str">
        <x:v>79</x:v>
      </x:c>
      <x:c r="G25" s="11" t="str">
        <x:v>148</x:v>
      </x:c>
      <x:c r="H25" s="11" t="str">
        <x:v>135</x:v>
      </x:c>
      <x:c r="I25" s="11" t="str">
        <x:v>0.912</x:v>
      </x:c>
      <x:c r="J25" s="11" t="str"/>
      <x:c r="K25" s="11" t="str"/>
      <x:c r="L25" s="11" t="str">
        <x:v>https://zenodo.org/records/19491529</x:v>
      </x:c>
    </x:row>
    <x:row r="26">
      <x:c r="A26" s="11" t="str">
        <x:v>zenodo</x:v>
      </x:c>
      <x:c r="B26" s="11" t="str">
        <x:v>10.5281/zenodo.19521030</x:v>
      </x:c>
      <x:c r="C26" s="11" t="str">
        <x:v>DRAFT Operational Utility and Multiscale Invariance of Phase Calculus: A Discrete Foundational Grammar for Dynamics</x:v>
      </x:c>
      <x:c r="D26" s="11" t="str">
        <x:v>2026-04-12</x:v>
      </x:c>
      <x:c r="E26" s="11" t="str">
        <x:v>78</x:v>
      </x:c>
      <x:c r="F26" s="11" t="str">
        <x:v>73</x:v>
      </x:c>
      <x:c r="G26" s="11" t="str">
        <x:v>56</x:v>
      </x:c>
      <x:c r="H26" s="11" t="str">
        <x:v>51</x:v>
      </x:c>
      <x:c r="I26" s="11" t="str">
        <x:v>0.911</x:v>
      </x:c>
      <x:c r="J26" s="11" t="str"/>
      <x:c r="K26" s="11" t="str"/>
      <x:c r="L26" s="11" t="str">
        <x:v>https://zenodo.org/records/19521030</x:v>
      </x:c>
    </x:row>
    <x:row r="27">
      <x:c r="A27" s="11" t="str">
        <x:v>zenodo</x:v>
      </x:c>
      <x:c r="B27" s="11" t="str">
        <x:v>10.5281/zenodo.19651366</x:v>
      </x:c>
      <x:c r="C27" s="11" t="str">
        <x:v>Operational Utility and Multiscale Invariance of Phase Calculus: A Discrete Foundational Grammar for Dynamics</x:v>
      </x:c>
      <x:c r="D27" s="11" t="str">
        <x:v>2026-04-18</x:v>
      </x:c>
      <x:c r="E27" s="11" t="str">
        <x:v>58</x:v>
      </x:c>
      <x:c r="F27" s="11" t="str">
        <x:v>57</x:v>
      </x:c>
      <x:c r="G27" s="11" t="str">
        <x:v>336</x:v>
      </x:c>
      <x:c r="H27" s="11" t="str">
        <x:v>333</x:v>
      </x:c>
      <x:c r="I27" s="11" t="str">
        <x:v>0.991</x:v>
      </x:c>
      <x:c r="J27" s="11" t="str"/>
      <x:c r="K27" s="11" t="str"/>
      <x:c r="L27" s="11" t="str">
        <x:v>https://zenodo.org/records/19651366</x:v>
      </x:c>
    </x:row>
    <x:row r="28">
      <x:c r="A28" s="11" t="str">
        <x:v>zenodo</x:v>
      </x:c>
      <x:c r="B28" s="11" t="str">
        <x:v>10.5281/zenodo.19650307</x:v>
      </x:c>
      <x:c r="C28" s="11" t="str">
        <x:v>DRAFT CF000-E1: Forced Oscillation, Curiosity, and Productive Tension</x:v>
      </x:c>
      <x:c r="D28" s="11" t="str">
        <x:v>2026-04-19</x:v>
      </x:c>
      <x:c r="E28" s="11" t="str">
        <x:v>38</x:v>
      </x:c>
      <x:c r="F28" s="11" t="str">
        <x:v>36</x:v>
      </x:c>
      <x:c r="G28" s="11" t="str">
        <x:v>66</x:v>
      </x:c>
      <x:c r="H28" s="11" t="str">
        <x:v>64</x:v>
      </x:c>
      <x:c r="I28" s="11" t="str">
        <x:v>0.97</x:v>
      </x:c>
      <x:c r="J28" s="11" t="str"/>
      <x:c r="K28" s="11" t="str"/>
      <x:c r="L28" s="11" t="str">
        <x:v>https://zenodo.org/records/19650307</x:v>
      </x:c>
    </x:row>
    <x:row r="29">
      <x:c r="A29" s="11" t="str">
        <x:v>zenodo</x:v>
      </x:c>
      <x:c r="B29" s="11" t="str">
        <x:v>10.5281/zenodo.19650753</x:v>
      </x:c>
      <x:c r="C29" s="11" t="str">
        <x:v>DRAFT Operational Utility and Multiscale Invariance of Phase Calculus: A Discrete Foundational Grammar for Dynamics</x:v>
      </x:c>
      <x:c r="D29" s="11" t="str">
        <x:v>2026-04-19</x:v>
      </x:c>
      <x:c r="E29" s="11" t="str">
        <x:v>27</x:v>
      </x:c>
      <x:c r="F29" s="11" t="str">
        <x:v>27</x:v>
      </x:c>
      <x:c r="G29" s="11" t="str">
        <x:v>105</x:v>
      </x:c>
      <x:c r="H29" s="11" t="str">
        <x:v>105</x:v>
      </x:c>
      <x:c r="I29" s="11" t="str">
        <x:v>1</x:v>
      </x:c>
      <x:c r="J29" s="11" t="str"/>
      <x:c r="K29" s="11" t="str"/>
      <x:c r="L29" s="11" t="str">
        <x:v>https://zenodo.org/records/19650753</x:v>
      </x:c>
    </x:row>
    <x:row r="30">
      <x:c r="A30" s="11" t="str">
        <x:v>zenodo</x:v>
      </x:c>
      <x:c r="B30" s="11" t="str">
        <x:v>10.5281/zenodo.19724444</x:v>
      </x:c>
      <x:c r="C30" s="11" t="str">
        <x:v>Quotient Descent and the EML Operator: Why Continuous Composites Are Not Primitives</x:v>
      </x:c>
      <x:c r="D30" s="11" t="str">
        <x:v>2026-04-21</x:v>
      </x:c>
      <x:c r="E30" s="11" t="str">
        <x:v>144</x:v>
      </x:c>
      <x:c r="F30" s="11" t="str">
        <x:v>124</x:v>
      </x:c>
      <x:c r="G30" s="11" t="str">
        <x:v>181</x:v>
      </x:c>
      <x:c r="H30" s="11" t="str">
        <x:v>156</x:v>
      </x:c>
      <x:c r="I30" s="11" t="str">
        <x:v>0.862</x:v>
      </x:c>
      <x:c r="J30" s="11" t="str"/>
      <x:c r="K30" s="11" t="str"/>
      <x:c r="L30" s="11" t="str">
        <x:v>https://zenodo.org/records/19724444</x:v>
      </x:c>
    </x:row>
    <x:row r="31">
      <x:c r="A31" s="11" t="str">
        <x:v>zenodo</x:v>
      </x:c>
      <x:c r="B31" s="11" t="str">
        <x:v>10.5281/zenodo.19698932</x:v>
      </x:c>
      <x:c r="C31" s="11" t="str">
        <x:v>Quotient Descent and the EML Operator: Why Continuous Composites Are Not Primitives</x:v>
      </x:c>
      <x:c r="D31" s="11" t="str">
        <x:v>2026-04-21</x:v>
      </x:c>
      <x:c r="E31" s="11" t="str">
        <x:v>42</x:v>
      </x:c>
      <x:c r="F31" s="11" t="str">
        <x:v>40</x:v>
      </x:c>
      <x:c r="G31" s="11" t="str">
        <x:v>85</x:v>
      </x:c>
      <x:c r="H31" s="11" t="str">
        <x:v>74</x:v>
      </x:c>
      <x:c r="I31" s="11" t="str">
        <x:v>0.871</x:v>
      </x:c>
      <x:c r="J31" s="11" t="str"/>
      <x:c r="K31" s="11" t="str"/>
      <x:c r="L31" s="11" t="str">
        <x:v>https://zenodo.org/records/19698932</x:v>
      </x:c>
    </x:row>
    <x:row r="32">
      <x:c r="A32" s="11" t="str">
        <x:v>zenodo</x:v>
      </x:c>
      <x:c r="B32" s="11" t="str">
        <x:v>10.5281/zenodo.19688963</x:v>
      </x:c>
      <x:c r="C32" s="11" t="str">
        <x:v>Quotient Descent and the EML Operator: Why Continuous Composites Are Not Primitives</x:v>
      </x:c>
      <x:c r="D32" s="11" t="str">
        <x:v>2026-04-21</x:v>
      </x:c>
      <x:c r="E32" s="11" t="str">
        <x:v>41</x:v>
      </x:c>
      <x:c r="F32" s="11" t="str">
        <x:v>40</x:v>
      </x:c>
      <x:c r="G32" s="11" t="str">
        <x:v>36</x:v>
      </x:c>
      <x:c r="H32" s="11" t="str">
        <x:v>36</x:v>
      </x:c>
      <x:c r="I32" s="11" t="str">
        <x:v>1</x:v>
      </x:c>
      <x:c r="J32" s="11" t="str"/>
      <x:c r="K32" s="11" t="str"/>
      <x:c r="L32" s="11" t="str">
        <x:v>https://zenodo.org/records/19688963</x:v>
      </x:c>
    </x:row>
    <x:row r="33">
      <x:c r="A33" s="11" t="str">
        <x:v>zenodo</x:v>
      </x:c>
      <x:c r="B33" s="11" t="str">
        <x:v>10.5281/zenodo.19688140</x:v>
      </x:c>
      <x:c r="C33" s="11" t="str">
        <x:v>Quotient Descent and the EML Operator: Why Continuous Composites Are Not Primitives</x:v>
      </x:c>
      <x:c r="D33" s="11" t="str">
        <x:v>2026-04-21</x:v>
      </x:c>
      <x:c r="E33" s="11" t="str">
        <x:v>22</x:v>
      </x:c>
      <x:c r="F33" s="11" t="str">
        <x:v>20</x:v>
      </x:c>
      <x:c r="G33" s="11" t="str">
        <x:v>35</x:v>
      </x:c>
      <x:c r="H33" s="11" t="str">
        <x:v>33</x:v>
      </x:c>
      <x:c r="I33" s="11" t="str">
        <x:v>0.943</x:v>
      </x:c>
      <x:c r="J33" s="11" t="str"/>
      <x:c r="K33" s="11" t="str"/>
      <x:c r="L33" s="11" t="str">
        <x:v>https://zenodo.org/records/19688140</x:v>
      </x:c>
    </x:row>
    <x:row r="34">
      <x:c r="A34" s="11" t="str">
        <x:v>zenodo</x:v>
      </x:c>
      <x:c r="B34" s="11" t="str">
        <x:v>10.5281/zenodo.19687962</x:v>
      </x:c>
      <x:c r="C34" s="11" t="str">
        <x:v>Quotient Descent and the EML Operator: Why Continuous Composites Are Not Primitives</x:v>
      </x:c>
      <x:c r="D34" s="11" t="str">
        <x:v>2026-04-22</x:v>
      </x:c>
      <x:c r="E34" s="11" t="str">
        <x:v>34</x:v>
      </x:c>
      <x:c r="F34" s="11" t="str">
        <x:v>31</x:v>
      </x:c>
      <x:c r="G34" s="11" t="str">
        <x:v>19</x:v>
      </x:c>
      <x:c r="H34" s="11" t="str">
        <x:v>15</x:v>
      </x:c>
      <x:c r="I34" s="11" t="str">
        <x:v>0.789</x:v>
      </x:c>
      <x:c r="J34" s="11" t="str"/>
      <x:c r="K34" s="11" t="str"/>
      <x:c r="L34" s="11" t="str">
        <x:v>https://zenodo.org/records/19687962</x:v>
      </x:c>
    </x:row>
    <x:row r="35">
      <x:c r="A35" s="11" t="str">
        <x:v>zenodo</x:v>
      </x:c>
      <x:c r="B35" s="11" t="str">
        <x:v>10.5281/zenodo.19741769</x:v>
      </x:c>
      <x:c r="C35" s="11" t="str">
        <x:v>Monodromy as Memory: Quotient Commutation Is Not Quotient Injectivity</x:v>
      </x:c>
      <x:c r="D35" s="11" t="str">
        <x:v>2026-04-24</x:v>
      </x:c>
      <x:c r="E35" s="11" t="str">
        <x:v>38</x:v>
      </x:c>
      <x:c r="F35" s="11" t="str">
        <x:v>36</x:v>
      </x:c>
      <x:c r="G35" s="11" t="str">
        <x:v>29</x:v>
      </x:c>
      <x:c r="H35" s="11" t="str">
        <x:v>27</x:v>
      </x:c>
      <x:c r="I35" s="11" t="str">
        <x:v>0.931</x:v>
      </x:c>
      <x:c r="J35" s="11" t="str"/>
      <x:c r="K35" s="11" t="str"/>
      <x:c r="L35" s="11" t="str">
        <x:v>https://zenodo.org/records/19741769</x:v>
      </x:c>
    </x:row>
    <x:row r="36">
      <x:c r="A36" s="11" t="str">
        <x:v>zenodo</x:v>
      </x:c>
      <x:c r="B36" s="11" t="str">
        <x:v>10.5281/zenodo.19741678</x:v>
      </x:c>
      <x:c r="C36" s="11" t="str">
        <x:v>Phase Calculus as Universal Exact Grammar for Branching Structures</x:v>
      </x:c>
      <x:c r="D36" s="11" t="str">
        <x:v>2026-04-24</x:v>
      </x:c>
      <x:c r="E36" s="11" t="str">
        <x:v>36</x:v>
      </x:c>
      <x:c r="F36" s="11" t="str">
        <x:v>34</x:v>
      </x:c>
      <x:c r="G36" s="11" t="str">
        <x:v>24</x:v>
      </x:c>
      <x:c r="H36" s="11" t="str">
        <x:v>21</x:v>
      </x:c>
      <x:c r="I36" s="11" t="str">
        <x:v>0.875</x:v>
      </x:c>
      <x:c r="J36" s="11" t="str"/>
      <x:c r="K36" s="11" t="str"/>
      <x:c r="L36" s="11" t="str">
        <x:v>https://zenodo.org/records/19741678</x:v>
      </x:c>
    </x:row>
    <x:row r="37">
      <x:c r="A37" s="11" t="str">
        <x:v>zenodo</x:v>
      </x:c>
      <x:c r="B37" s="11" t="str">
        <x:v>10.5281/zenodo.19725430</x:v>
      </x:c>
      <x:c r="C37" s="11" t="str">
        <x:v>Unified Quintic: Lifted Quintic Transport, Red-Filter Quotient Descent, and Immediate Root Certification</x:v>
      </x:c>
      <x:c r="D37" s="11" t="str">
        <x:v>2026-04-24</x:v>
      </x:c>
      <x:c r="E37" s="11" t="str">
        <x:v>45</x:v>
      </x:c>
      <x:c r="F37" s="11" t="str">
        <x:v>44</x:v>
      </x:c>
      <x:c r="G37" s="11" t="str">
        <x:v>86</x:v>
      </x:c>
      <x:c r="H37" s="11" t="str">
        <x:v>84</x:v>
      </x:c>
      <x:c r="I37" s="11" t="str">
        <x:v>0.977</x:v>
      </x:c>
      <x:c r="J37" s="11" t="str"/>
      <x:c r="K37" s="11" t="str"/>
      <x:c r="L37" s="11" t="str">
        <x:v>https://zenodo.org/records/19725430</x:v>
      </x:c>
    </x:row>
    <x:row r="38">
      <x:c r="A38" s="11" t="str">
        <x:v>zenodo</x:v>
      </x:c>
      <x:c r="B38" s="11" t="str">
        <x:v>10.5281/zenodo.19750321</x:v>
      </x:c>
      <x:c r="C38" s="11" t="str">
        <x:v>The Transcendental Wall: State-Complete Inversion and Liouvillian Closure in Phase Calculus</x:v>
      </x:c>
      <x:c r="D38" s="11" t="str">
        <x:v>2026-04-25</x:v>
      </x:c>
      <x:c r="E38" s="11" t="str">
        <x:v>70</x:v>
      </x:c>
      <x:c r="F38" s="11" t="str">
        <x:v>69</x:v>
      </x:c>
      <x:c r="G38" s="11" t="str">
        <x:v>42</x:v>
      </x:c>
      <x:c r="H38" s="11" t="str">
        <x:v>40</x:v>
      </x:c>
      <x:c r="I38" s="11" t="str">
        <x:v>0.952</x:v>
      </x:c>
      <x:c r="J38" s="11" t="str"/>
      <x:c r="K38" s="11" t="str"/>
      <x:c r="L38" s="11" t="str">
        <x:v>https://zenodo.org/records/19750321</x:v>
      </x:c>
    </x:row>
    <x:row r="39">
      <x:c r="A39" s="11" t="str">
        <x:v>zenodo</x:v>
      </x:c>
      <x:c r="B39" s="11" t="str">
        <x:v>10.5281/zenodo.20091655</x:v>
      </x:c>
      <x:c r="C39" s="11" t="str">
        <x:v>CF10: Global Regularity for the Three-Dimensional Navier–Stokes Equations</x:v>
      </x:c>
      <x:c r="D39" s="11" t="str">
        <x:v>2026-04-27</x:v>
      </x:c>
      <x:c r="E39" s="11" t="str">
        <x:v>57</x:v>
      </x:c>
      <x:c r="F39" s="11" t="str">
        <x:v>53</x:v>
      </x:c>
      <x:c r="G39" s="11" t="str">
        <x:v>144</x:v>
      </x:c>
      <x:c r="H39" s="11" t="str">
        <x:v>132</x:v>
      </x:c>
      <x:c r="I39" s="11" t="str">
        <x:v>0.917</x:v>
      </x:c>
      <x:c r="J39" s="11" t="str"/>
      <x:c r="K39" s="11" t="str"/>
      <x:c r="L39" s="11" t="str">
        <x:v>https://zenodo.org/records/20091655</x:v>
      </x:c>
    </x:row>
    <x:row r="40">
      <x:c r="A40" s="11" t="str">
        <x:v>zenodo</x:v>
      </x:c>
      <x:c r="B40" s="11" t="str">
        <x:v>10.5281/zenodo.19836509</x:v>
      </x:c>
      <x:c r="C40" s="11" t="str">
        <x:v>CF10: VDM Lattice Hydrodynamics, Continuum Limit, and Regularity Program</x:v>
      </x:c>
      <x:c r="D40" s="11" t="str">
        <x:v>2026-04-27</x:v>
      </x:c>
      <x:c r="E40" s="11" t="str">
        <x:v>36</x:v>
      </x:c>
      <x:c r="F40" s="11" t="str">
        <x:v>36</x:v>
      </x:c>
      <x:c r="G40" s="11" t="str">
        <x:v>63</x:v>
      </x:c>
      <x:c r="H40" s="11" t="str">
        <x:v>61</x:v>
      </x:c>
      <x:c r="I40" s="11" t="str">
        <x:v>0.968</x:v>
      </x:c>
      <x:c r="J40" s="11" t="str"/>
      <x:c r="K40" s="11" t="str"/>
      <x:c r="L40" s="11" t="str">
        <x:v>https://zenodo.org/records/19836509</x:v>
      </x:c>
    </x:row>
    <x:row r="41">
      <x:c r="A41" s="11" t="str">
        <x:v>zenodo</x:v>
      </x:c>
      <x:c r="B41" s="11" t="str">
        <x:v>10.5281/zenodo.19834541</x:v>
      </x:c>
      <x:c r="C41" s="11" t="str">
        <x:v>CF10: VDM Lattice Hydrodynamics, Continuum Limit, and Regularity Program</x:v>
      </x:c>
      <x:c r="D41" s="11" t="str">
        <x:v>2026-04-27</x:v>
      </x:c>
      <x:c r="E41" s="11" t="str">
        <x:v>23</x:v>
      </x:c>
      <x:c r="F41" s="11" t="str">
        <x:v>22</x:v>
      </x:c>
      <x:c r="G41" s="11" t="str">
        <x:v>33</x:v>
      </x:c>
      <x:c r="H41" s="11" t="str">
        <x:v>32</x:v>
      </x:c>
      <x:c r="I41" s="11" t="str">
        <x:v>0.97</x:v>
      </x:c>
      <x:c r="J41" s="11" t="str"/>
      <x:c r="K41" s="11" t="str"/>
      <x:c r="L41" s="11" t="str">
        <x:v>https://zenodo.org/records/19834541</x:v>
      </x:c>
    </x:row>
    <x:row r="42">
      <x:c r="A42" s="11" t="str">
        <x:v>zenodo</x:v>
      </x:c>
      <x:c r="B42" s="11" t="str">
        <x:v>10.5281/zenodo.19826747</x:v>
      </x:c>
      <x:c r="C42" s="11" t="str">
        <x:v>CF10: VDM Lattice Hydrodynamics, Continuum Limit, and Regularity Program</x:v>
      </x:c>
      <x:c r="D42" s="11" t="str">
        <x:v>2026-04-27</x:v>
      </x:c>
      <x:c r="E42" s="11" t="str">
        <x:v>18</x:v>
      </x:c>
      <x:c r="F42" s="11" t="str">
        <x:v>15</x:v>
      </x:c>
      <x:c r="G42" s="11" t="str">
        <x:v>33</x:v>
      </x:c>
      <x:c r="H42" s="11" t="str">
        <x:v>29</x:v>
      </x:c>
      <x:c r="I42" s="11" t="str">
        <x:v>0.879</x:v>
      </x:c>
      <x:c r="J42" s="11" t="str"/>
      <x:c r="K42" s="11" t="str"/>
      <x:c r="L42" s="11" t="str">
        <x:v>https://zenodo.org/records/19826747</x:v>
      </x:c>
    </x:row>
    <x:row r="43">
      <x:c r="A43" s="11" t="str">
        <x:v>zenodo</x:v>
      </x:c>
      <x:c r="B43" s="11" t="str">
        <x:v>10.5281/zenodo.19903551</x:v>
      </x:c>
      <x:c r="C43" s="11" t="str">
        <x:v>Retained Loop Projection and Branch-History Monodromy in Transdimensional Anomalous Hall Transport</x:v>
      </x:c>
      <x:c r="D43" s="11" t="str">
        <x:v>2026-04-30</x:v>
      </x:c>
      <x:c r="E43" s="11" t="str">
        <x:v>35</x:v>
      </x:c>
      <x:c r="F43" s="11" t="str">
        <x:v>31</x:v>
      </x:c>
      <x:c r="G43" s="11" t="str">
        <x:v>37</x:v>
      </x:c>
      <x:c r="H43" s="11" t="str">
        <x:v>32</x:v>
      </x:c>
      <x:c r="I43" s="11" t="str">
        <x:v>0.865</x:v>
      </x:c>
      <x:c r="J43" s="11" t="str"/>
      <x:c r="K43" s="11" t="str"/>
      <x:c r="L43" s="11" t="str">
        <x:v>https://zenodo.org/records/19903551</x:v>
      </x:c>
    </x:row>
    <x:row r="44">
      <x:c r="A44" s="11" t="str">
        <x:v>zenodo</x:v>
      </x:c>
      <x:c r="B44" s="11" t="str">
        <x:v>10.5281/zenodo.21443828</x:v>
      </x:c>
      <x:c r="C44" s="11" t="str">
        <x:v>The Lifted Object: A Natural-Language Walkthrough from Primitive Custody to the Orthad</x:v>
      </x:c>
      <x:c r="D44" s="11" t="str">
        <x:v>2026-07-19</x:v>
      </x:c>
      <x:c r="E44" s="11" t="str">
        <x:v>31</x:v>
      </x:c>
      <x:c r="F44" s="11" t="str">
        <x:v>29</x:v>
      </x:c>
      <x:c r="G44" s="11" t="str">
        <x:v>12</x:v>
      </x:c>
      <x:c r="H44" s="11" t="str">
        <x:v>12</x:v>
      </x:c>
      <x:c r="I44" s="11" t="str">
        <x:v>1</x:v>
      </x:c>
      <x:c r="J44" s="11" t="str"/>
      <x:c r="K44" s="11" t="str"/>
      <x:c r="L44" s="11" t="str">
        <x:v>https://zenodo.org/records/21443828</x:v>
      </x:c>
    </x:row>
    <x:row r="45">
      <x:c r="A45" s="11" t="str">
        <x:v>zenodo</x:v>
      </x:c>
      <x:c r="B45" s="11" t="str">
        <x:v>10.5281/zenodo.21439518</x:v>
      </x:c>
      <x:c r="C45" s="11" t="str">
        <x:v>The Lifted Object: A Natural-Language Walkthrough from Primitive Custody to the Orthad</x:v>
      </x:c>
      <x:c r="D45" s="11" t="str">
        <x:v>2026-07-19</x:v>
      </x:c>
      <x:c r="E45" s="11" t="str">
        <x:v>34</x:v>
      </x:c>
      <x:c r="F45" s="11" t="str">
        <x:v>26</x:v>
      </x:c>
      <x:c r="G45" s="11" t="str">
        <x:v>5</x:v>
      </x:c>
      <x:c r="H45" s="11" t="str">
        <x:v>5</x:v>
      </x:c>
      <x:c r="I45" s="11" t="str">
        <x:v>1</x:v>
      </x:c>
      <x:c r="J45" s="11" t="str"/>
      <x:c r="K45" s="11" t="str"/>
      <x:c r="L45" s="11" t="str">
        <x:v>https://zenodo.org/records/21439518</x:v>
      </x:c>
    </x:row>
    <x:row r="46">
      <x:c r="A46" s="11" t="str">
        <x:v>zenodo</x:v>
      </x:c>
      <x:c r="B46" s="11" t="str">
        <x:v>10.5281/zenodo.21586157</x:v>
      </x:c>
      <x:c r="C46" s="11" t="str">
        <x:v>Phase Calculus and the 2026 Jacobian Counterexample</x:v>
      </x:c>
      <x:c r="D46" s="11" t="str">
        <x:v>2026-07-22</x:v>
      </x:c>
      <x:c r="E46" s="11" t="str">
        <x:v>26</x:v>
      </x:c>
      <x:c r="F46" s="11" t="str">
        <x:v>24</x:v>
      </x:c>
      <x:c r="G46" s="11" t="str">
        <x:v>5</x:v>
      </x:c>
      <x:c r="H46" s="11" t="str">
        <x:v>5</x:v>
      </x:c>
      <x:c r="I46" s="11" t="str">
        <x:v>1</x:v>
      </x:c>
      <x:c r="J46" s="11" t="str"/>
      <x:c r="K46" s="11" t="str"/>
      <x:c r="L46" s="11" t="str">
        <x:v>https://zenodo.org/records/21586157</x:v>
      </x:c>
    </x:row>
    <x:row r="47">
      <x:c r="A47" s="11" t="str">
        <x:v>zenodo</x:v>
      </x:c>
      <x:c r="B47" s="11" t="str">
        <x:v>10.5281/zenodo.22103196</x:v>
      </x:c>
      <x:c r="C47" s="11" t="str">
        <x:v>A Logarithmic First Integral for the Logistic On Site Law in VDM</x:v>
      </x:c>
      <x:c r="D47" s="11" t="str">
        <x:v>2026-08-25</x:v>
      </x:c>
      <x:c r="E47" s="11" t="str">
        <x:v>28</x:v>
      </x:c>
      <x:c r="F47" s="11" t="str">
        <x:v>23</x:v>
      </x:c>
      <x:c r="G47" s="11" t="str">
        <x:v>38</x:v>
      </x:c>
      <x:c r="H47" s="11" t="str">
        <x:v>29</x:v>
      </x:c>
      <x:c r="I47" s="11" t="str">
        <x:v>0.763</x:v>
      </x:c>
      <x:c r="J47" s="11" t="str"/>
      <x:c r="K47" s="11" t="str"/>
      <x:c r="L47" s="11" t="str">
        <x:v>https://zenodo.org/records/22103196</x:v>
      </x:c>
    </x:row>
    <x:row r="48">
      <x:c r="A48" s="11" t="str">
        <x:v>zenodo</x:v>
      </x:c>
      <x:c r="B48" s="11" t="str">
        <x:v>10.5281/zenodo.22102244</x:v>
      </x:c>
      <x:c r="C48" s="11" t="str">
        <x:v>A Logarithmic First Integral for the Logistic On Site Law in Void Dynamics</x:v>
      </x:c>
      <x:c r="D48" s="11" t="str">
        <x:v>2026-08-25</x:v>
      </x:c>
      <x:c r="E48" s="11" t="str">
        <x:v>7</x:v>
      </x:c>
      <x:c r="F48" s="11" t="str">
        <x:v>7</x:v>
      </x:c>
      <x:c r="G48" s="11" t="str">
        <x:v>6</x:v>
      </x:c>
      <x:c r="H48" s="11" t="str">
        <x:v>4</x:v>
      </x:c>
      <x:c r="I48" s="11" t="str">
        <x:v>0.667</x:v>
      </x:c>
      <x:c r="J48" s="11" t="str"/>
      <x:c r="K48" s="11" t="str"/>
      <x:c r="L48" s="11" t="str">
        <x:v>https://zenodo.org/records/22102244</x:v>
      </x:c>
    </x:row>
    <x:row r="49">
      <x:c r="A49" s="11" t="str">
        <x:v>github</x:v>
      </x:c>
      <x:c r="B49" s="11" t="str">
        <x:v>Neuroca-Inc/vdm-logistic-solver</x:v>
      </x:c>
      <x:c r="C49" s="11" t="str">
        <x:v>A small installable interface around the exact logistic on-site reaction step and logarithmic invariant used in the VDM </x:v>
      </x:c>
      <x:c r="D49" s="11" t="str">
        <x:v>2026-08-26</x:v>
      </x:c>
      <x:c r="E49" s="11" t="str"/>
      <x:c r="F49" s="11" t="str"/>
      <x:c r="G49" s="11" t="str"/>
      <x:c r="H49" s="11" t="str"/>
      <x:c r="I49" s="11" t="str"/>
      <x:c r="J49" s="11" t="str">
        <x:v>0</x:v>
      </x:c>
      <x:c r="K49" s="11" t="str">
        <x:v>0</x:v>
      </x:c>
      <x:c r="L49" s="11" t="str">
        <x:v>https://github.com/Neuroca-Inc/vdm-logistic-solver</x:v>
      </x:c>
    </x:row>
    <x:row r="50">
      <x:c r="A50" s="11" t="str">
        <x:v>github</x:v>
      </x:c>
      <x:c r="B50" s="11" t="str">
        <x:v>Neuroca-Inc/cortex-engine</x:v>
      </x:c>
      <x:c r="C50" s="11" t="str">
        <x:v>Phase Calculus world simulation engine for physics, video games, AI models, operating systems, robotics, and more.</x:v>
      </x:c>
      <x:c r="D50" s="11" t="str">
        <x:v>2026-08-26</x:v>
      </x:c>
      <x:c r="E50" s="11" t="str"/>
      <x:c r="F50" s="11" t="str"/>
      <x:c r="G50" s="11" t="str"/>
      <x:c r="H50" s="11" t="str"/>
      <x:c r="I50" s="11" t="str"/>
      <x:c r="J50" s="11" t="str">
        <x:v>0</x:v>
      </x:c>
      <x:c r="K50" s="11" t="str">
        <x:v>0</x:v>
      </x:c>
      <x:c r="L50" s="11" t="str">
        <x:v>https://github.com/Neuroca-Inc/cortex-engine</x:v>
      </x:c>
    </x:row>
    <x:row r="51">
      <x:c r="A51" s="11" t="str">
        <x:v>zenodo</x:v>
      </x:c>
      <x:c r="B51" s="11" t="str">
        <x:v>10.5281/zenodo.22210015</x:v>
      </x:c>
      <x:c r="C51" s="11" t="str">
        <x:v>Cellular Sheaf Theory for the Orthad A Proposal for Local-to-Global Consistency, Reconstruction, and Seal Obstructions</x:v>
      </x:c>
      <x:c r="D51" s="11" t="str">
        <x:v>2026-08-31</x:v>
      </x:c>
      <x:c r="E51" s="11" t="str">
        <x:v>2</x:v>
      </x:c>
      <x:c r="F51" s="11" t="str">
        <x:v>1</x:v>
      </x:c>
      <x:c r="G51" s="11" t="str">
        <x:v>2</x:v>
      </x:c>
      <x:c r="H51" s="11" t="str">
        <x:v>2</x:v>
      </x:c>
      <x:c r="I51" s="11" t="str">
        <x:v>1</x:v>
      </x:c>
      <x:c r="J51" s="11" t="str"/>
      <x:c r="K51" s="11" t="str"/>
      <x:c r="L51" s="11" t="str">
        <x:v>https://zenodo.org/records/22210015</x:v>
      </x:c>
    </x:row>
    <x:row r="52">
      <x:c r="A52" s="11" t="str">
        <x:v>zenodo</x:v>
      </x:c>
      <x:c r="B52" s="11" t="str">
        <x:v>10.5281/zenodo.22209981</x:v>
      </x:c>
      <x:c r="C52" s="11" t="str">
        <x:v>Mapping the Collatz Conjecture with Phase Calculus A Proposal for Inverse Words, Base-L Carries, and Orthad Realization</x:v>
      </x:c>
      <x:c r="D52" s="11" t="str">
        <x:v>2026-08-31</x:v>
      </x:c>
      <x:c r="E52" s="11" t="str">
        <x:v>0</x:v>
      </x:c>
      <x:c r="F52" s="11" t="str">
        <x:v>0</x:v>
      </x:c>
      <x:c r="G52" s="11" t="str">
        <x:v>2</x:v>
      </x:c>
      <x:c r="H52" s="11" t="str">
        <x:v>2</x:v>
      </x:c>
      <x:c r="I52" s="11" t="str">
        <x:v>1</x:v>
      </x:c>
      <x:c r="J52" s="11" t="str"/>
      <x:c r="K52" s="11" t="str"/>
      <x:c r="L52" s="11" t="str">
        <x:v>https://zenodo.org/records/22209981</x:v>
      </x:c>
    </x:row>
    <x:row r="53">
      <x:c r="A53" s="11" t="str">
        <x:v>zenodo</x:v>
      </x:c>
      <x:c r="B53" s="11" t="str">
        <x:v>10.5281/zenodo.22210019</x:v>
      </x:c>
      <x:c r="C53" s="11" t="str">
        <x:v>Phase Calculus Rosetta Stone</x:v>
      </x:c>
      <x:c r="D53" s="11" t="str">
        <x:v>2026-08-31</x:v>
      </x:c>
      <x:c r="E53" s="11" t="str">
        <x:v>2</x:v>
      </x:c>
      <x:c r="F53" s="11" t="str">
        <x:v>2</x:v>
      </x:c>
      <x:c r="G53" s="11" t="str">
        <x:v>2</x:v>
      </x:c>
      <x:c r="H53" s="11" t="str">
        <x:v>2</x:v>
      </x:c>
      <x:c r="I53" s="11" t="str">
        <x:v>1</x:v>
      </x:c>
      <x:c r="J53" s="11" t="str"/>
      <x:c r="K53" s="11" t="str"/>
      <x:c r="L53" s="11" t="str">
        <x:v>https://zenodo.org/records/22210019</x:v>
      </x:c>
    </x:row>
    <x:row r="54">
      <x:c r="A54" s="11" t="str">
        <x:v>zenodo</x:v>
      </x:c>
      <x:c r="B54" s="11" t="str">
        <x:v>10.5281/zenodo.22209950</x:v>
      </x:c>
      <x:c r="C54" s="11" t="str">
        <x:v>Proposal for an Orthad Derivation of the Quarter-Twisted Conjugate-Edge Kernel</x:v>
      </x:c>
      <x:c r="D54" s="11" t="str">
        <x:v>2026-08-31</x:v>
      </x:c>
      <x:c r="E54" s="11" t="str">
        <x:v>0</x:v>
      </x:c>
      <x:c r="F54" s="11" t="str">
        <x:v>0</x:v>
      </x:c>
      <x:c r="G54" s="11" t="str">
        <x:v>2</x:v>
      </x:c>
      <x:c r="H54" s="11" t="str">
        <x:v>2</x:v>
      </x:c>
      <x:c r="I54" s="11" t="str">
        <x:v>1</x:v>
      </x:c>
      <x:c r="J54" s="11" t="str"/>
      <x:c r="K54" s="11" t="str"/>
      <x:c r="L54" s="11" t="str">
        <x:v>https://zenodo.org/records/22209950</x:v>
      </x:c>
    </x:row>
    <x:row r="55">
      <x:c r="A55" s="11" t="str">
        <x:v>zenodo</x:v>
      </x:c>
      <x:c r="B55" s="11" t="str">
        <x:v>10.5281/zenodo.22209910</x:v>
      </x:c>
      <x:c r="C55" s="11" t="str">
        <x:v>Proposed Future Research in Phase Calculus</x:v>
      </x:c>
      <x:c r="D55" s="11" t="str">
        <x:v>2026-08-31</x:v>
      </x:c>
      <x:c r="E55" s="11" t="str">
        <x:v>0</x:v>
      </x:c>
      <x:c r="F55" s="11" t="str">
        <x:v>0</x:v>
      </x:c>
      <x:c r="G55" s="11" t="str">
        <x:v>2</x:v>
      </x:c>
      <x:c r="H55" s="11" t="str">
        <x:v>2</x:v>
      </x:c>
      <x:c r="I55" s="11" t="str">
        <x:v>1</x:v>
      </x:c>
      <x:c r="J55" s="11" t="str"/>
      <x:c r="K55" s="11" t="str"/>
      <x:c r="L55" s="11" t="str">
        <x:v>https://zenodo.org/records/22209910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4" hidden="0" customWidth="1"/>
    <x:col min="3" max="3" width="14" hidden="0" customWidth="1"/>
    <x:col min="4" max="4" width="62" hidden="0" customWidth="1"/>
    <x:col min="5" max="5" width="32" hidden="0" customWidth="1"/>
    <x:col min="6" max="6" width="30" hidden="0" customWidth="1"/>
    <x:col min="7" max="7" width="24" hidden="0" customWidth="1"/>
    <x:col min="8" max="8" width="44" hidden="0" customWidth="1"/>
    <x:col min="9" max="9" width="58" hidden="0" customWidth="1"/>
    <x:col min="10" max="10" width="20" hidden="0" customWidth="1"/>
    <x:col min="11" max="11" width="34" hidden="0" customWidth="1"/>
  </x:cols>
  <x:sheetData>
    <x:row r="1">
      <x:c r="A1" s="41" t="str">
        <x:v>Evidence_ID</x:v>
      </x:c>
      <x:c r="B1" s="41" t="str">
        <x:v>Evidence_Class</x:v>
      </x:c>
      <x:c r="C1" s="41" t="str">
        <x:v>Event_Date</x:v>
      </x:c>
      <x:c r="D1" s="41" t="str">
        <x:v>Title_or_Event</x:v>
      </x:c>
      <x:c r="E1" s="41" t="str">
        <x:v>Identifier</x:v>
      </x:c>
      <x:c r="F1" s="41" t="str">
        <x:v>Source</x:v>
      </x:c>
      <x:c r="G1" s="41" t="str">
        <x:v>Status</x:v>
      </x:c>
      <x:c r="H1" s="41" t="str">
        <x:v>Hash_or_SHA</x:v>
      </x:c>
      <x:c r="I1" s="41" t="str">
        <x:v>URL_or_Path</x:v>
      </x:c>
      <x:c r="J1" s="41" t="str">
        <x:v>Related_Entry</x:v>
      </x:c>
      <x:c r="K1" s="41" t="str">
        <x:v>Index_Surface</x:v>
      </x:c>
    </x:row>
    <x:row r="2">
      <x:c r="A2" s="11" t="str">
        <x:v>PUB-0001</x:v>
      </x:c>
      <x:c r="B2" s="11" t="str">
        <x:v>PUBLIC_RELEASE</x:v>
      </x:c>
      <x:c r="C2" s="11" t="str">
        <x:v>2025-01-08</x:v>
      </x:c>
      <x:c r="D2" s="11" t="str">
        <x:v>Theoretical Foundations for the Adaptive Modular Network</x:v>
      </x:c>
      <x:c r="E2" s="11" t="str">
        <x:v>10.5281/zenodo.19155030</x:v>
      </x:c>
      <x:c r="F2" s="11" t="str">
        <x:v>zenodo</x:v>
      </x:c>
      <x:c r="G2" s="11" t="str">
        <x:v>PUBLIC</x:v>
      </x:c>
      <x:c r="H2" s="11" t="str"/>
      <x:c r="I2" s="11" t="str">
        <x:v>https://zenodo.org/records/19155030</x:v>
      </x:c>
      <x:c r="J2" s="11" t="str"/>
      <x:c r="K2" s="11" t="str">
        <x:v>public/reach/public-release-timeline.csv</x:v>
      </x:c>
    </x:row>
    <x:row r="3">
      <x:c r="A3" s="11" t="str">
        <x:v>PUB-0002</x:v>
      </x:c>
      <x:c r="B3" s="11" t="str">
        <x:v>PUBLIC_RELEASE</x:v>
      </x:c>
      <x:c r="C3" s="11" t="str">
        <x:v>2025-04-02</x:v>
      </x:c>
      <x:c r="D3" s="11" t="str">
        <x:v>Self Improvement Engine Stability Analysis Framework</x:v>
      </x:c>
      <x:c r="E3" s="11" t="str">
        <x:v>10.5281/zenodo.19155003</x:v>
      </x:c>
      <x:c r="F3" s="11" t="str">
        <x:v>zenodo</x:v>
      </x:c>
      <x:c r="G3" s="11" t="str">
        <x:v>PUBLIC</x:v>
      </x:c>
      <x:c r="H3" s="11" t="str"/>
      <x:c r="I3" s="11" t="str">
        <x:v>https://zenodo.org/records/19155003</x:v>
      </x:c>
      <x:c r="J3" s="11" t="str"/>
      <x:c r="K3" s="11" t="str">
        <x:v>public/reach/public-release-timeline.csv</x:v>
      </x:c>
    </x:row>
    <x:row r="4">
      <x:c r="A4" s="11" t="str">
        <x:v>PUB-0003</x:v>
      </x:c>
      <x:c r="B4" s="11" t="str">
        <x:v>PUBLIC_RELEASE</x:v>
      </x:c>
      <x:c r="C4" s="11" t="str">
        <x:v>2025-09-10</x:v>
      </x:c>
      <x:c r="D4" s="11" t="str">
        <x:v>Counterfactual Echo Gain (CEG): Future-Aware Metriplectic Assistance Yields Gate-Certified Echo Improvement</x:v>
      </x:c>
      <x:c r="E4" s="11" t="str">
        <x:v>10.5281/zenodo.19613111</x:v>
      </x:c>
      <x:c r="F4" s="11" t="str">
        <x:v>zenodo</x:v>
      </x:c>
      <x:c r="G4" s="11" t="str">
        <x:v>PUBLIC</x:v>
      </x:c>
      <x:c r="H4" s="11" t="str"/>
      <x:c r="I4" s="11" t="str">
        <x:v>https://zenodo.org/records/19613111</x:v>
      </x:c>
      <x:c r="J4" s="11" t="str"/>
      <x:c r="K4" s="11" t="str">
        <x:v>public/reach/public-release-timeline.csv</x:v>
      </x:c>
    </x:row>
    <x:row r="5">
      <x:c r="A5" s="11" t="str">
        <x:v>PUB-0004</x:v>
      </x:c>
      <x:c r="B5" s="11" t="str">
        <x:v>PUBLIC_RELEASE</x:v>
      </x:c>
      <x:c r="C5" s="11" t="str">
        <x:v>2025-09-29</x:v>
      </x:c>
      <x:c r="D5" s="11" t="str">
        <x:v>A Logarithmic First Integral for the Logistic On Site Law in Void Dynamics</x:v>
      </x:c>
      <x:c r="E5" s="11" t="str">
        <x:v>10.5281/zenodo.17220869</x:v>
      </x:c>
      <x:c r="F5" s="11" t="str">
        <x:v>zenodo</x:v>
      </x:c>
      <x:c r="G5" s="11" t="str">
        <x:v>PUBLIC</x:v>
      </x:c>
      <x:c r="H5" s="11" t="str"/>
      <x:c r="I5" s="11" t="str">
        <x:v>https://zenodo.org/records/17220869</x:v>
      </x:c>
      <x:c r="J5" s="11" t="str"/>
      <x:c r="K5" s="11" t="str">
        <x:v>public/reach/public-release-timeline.csv</x:v>
      </x:c>
    </x:row>
    <x:row r="6">
      <x:c r="A6" s="11" t="str">
        <x:v>PUB-0005</x:v>
      </x:c>
      <x:c r="B6" s="11" t="str">
        <x:v>PUBLIC_RELEASE</x:v>
      </x:c>
      <x:c r="C6" s="11" t="str">
        <x:v>2025-10-27</x:v>
      </x:c>
      <x:c r="D6" s="11" t="str">
        <x:v>A Logarithmic First Integral for the Logistic On Site Law in Void Dynamics</x:v>
      </x:c>
      <x:c r="E6" s="11" t="str">
        <x:v>10.5281/zenodo.17455491</x:v>
      </x:c>
      <x:c r="F6" s="11" t="str">
        <x:v>zenodo</x:v>
      </x:c>
      <x:c r="G6" s="11" t="str">
        <x:v>PUBLIC</x:v>
      </x:c>
      <x:c r="H6" s="11" t="str"/>
      <x:c r="I6" s="11" t="str">
        <x:v>https://zenodo.org/records/17455491</x:v>
      </x:c>
      <x:c r="J6" s="11" t="str"/>
      <x:c r="K6" s="11" t="str">
        <x:v>public/reach/public-release-timeline.csv</x:v>
      </x:c>
    </x:row>
    <x:row r="7">
      <x:c r="A7" s="11" t="str">
        <x:v>PUB-0006</x:v>
      </x:c>
      <x:c r="B7" s="11" t="str">
        <x:v>PUBLIC_RELEASE</x:v>
      </x:c>
      <x:c r="C7" s="11" t="str">
        <x:v>2025-11-01</x:v>
      </x:c>
      <x:c r="D7" s="11" t="str">
        <x:v>Packaged Release of a T8 A8 Proposal for the Void Dynamics Model</x:v>
      </x:c>
      <x:c r="E7" s="11" t="str">
        <x:v>10.5281/zenodo.17497855</x:v>
      </x:c>
      <x:c r="F7" s="11" t="str">
        <x:v>zenodo</x:v>
      </x:c>
      <x:c r="G7" s="11" t="str">
        <x:v>PUBLIC</x:v>
      </x:c>
      <x:c r="H7" s="11" t="str"/>
      <x:c r="I7" s="11" t="str">
        <x:v>https://zenodo.org/records/17497855</x:v>
      </x:c>
      <x:c r="J7" s="11" t="str"/>
      <x:c r="K7" s="11" t="str">
        <x:v>public/reach/public-release-timeline.csv</x:v>
      </x:c>
    </x:row>
    <x:row r="8">
      <x:c r="A8" s="11" t="str">
        <x:v>PUB-0007</x:v>
      </x:c>
      <x:c r="B8" s="11" t="str">
        <x:v>PUBLIC_RELEASE</x:v>
      </x:c>
      <x:c r="C8" s="11" t="str">
        <x:v>2025-11-01</x:v>
      </x:c>
      <x:c r="D8" s="11" t="str">
        <x:v>The Lietz Infinity Resolution Conjecture: Hierarchical Scale-Breaking in Tachyonic Metriplectic Systems</x:v>
      </x:c>
      <x:c r="E8" s="11" t="str">
        <x:v>10.5281/zenodo.17508502</x:v>
      </x:c>
      <x:c r="F8" s="11" t="str">
        <x:v>zenodo</x:v>
      </x:c>
      <x:c r="G8" s="11" t="str">
        <x:v>PUBLIC</x:v>
      </x:c>
      <x:c r="H8" s="11" t="str"/>
      <x:c r="I8" s="11" t="str">
        <x:v>https://zenodo.org/records/17508502</x:v>
      </x:c>
      <x:c r="J8" s="11" t="str"/>
      <x:c r="K8" s="11" t="str">
        <x:v>public/reach/public-release-timeline.csv</x:v>
      </x:c>
    </x:row>
    <x:row r="9">
      <x:c r="A9" s="11" t="str">
        <x:v>PUB-0008</x:v>
      </x:c>
      <x:c r="B9" s="11" t="str">
        <x:v>PUBLIC_RELEASE</x:v>
      </x:c>
      <x:c r="C9" s="11" t="str">
        <x:v>2025-11-01</x:v>
      </x:c>
      <x:c r="D9" s="11" t="str">
        <x:v>The Lietz Infinity Resolution Conjecture: Hierarchical Scale-Breaking in Tachyonic Metriplectic Systems</x:v>
      </x:c>
      <x:c r="E9" s="11" t="str">
        <x:v>10.5281/zenodo.17508148</x:v>
      </x:c>
      <x:c r="F9" s="11" t="str">
        <x:v>zenodo</x:v>
      </x:c>
      <x:c r="G9" s="11" t="str">
        <x:v>PUBLIC</x:v>
      </x:c>
      <x:c r="H9" s="11" t="str"/>
      <x:c r="I9" s="11" t="str">
        <x:v>https://zenodo.org/records/17508148</x:v>
      </x:c>
      <x:c r="J9" s="11" t="str"/>
      <x:c r="K9" s="11" t="str">
        <x:v>public/reach/public-release-timeline.csv</x:v>
      </x:c>
    </x:row>
    <x:row r="10">
      <x:c r="A10" s="11" t="str">
        <x:v>PUB-0009</x:v>
      </x:c>
      <x:c r="B10" s="11" t="str">
        <x:v>PUBLIC_RELEASE</x:v>
      </x:c>
      <x:c r="C10" s="11" t="str">
        <x:v>2025-11-01</x:v>
      </x:c>
      <x:c r="D10" s="11" t="str">
        <x:v>The Lietz Infinity Resolution Conjecture: Hierarchical Scale-Breaking in Tachyonic Metriplectic Systems</x:v>
      </x:c>
      <x:c r="E10" s="11" t="str">
        <x:v>10.5281/zenodo.17503344</x:v>
      </x:c>
      <x:c r="F10" s="11" t="str">
        <x:v>zenodo</x:v>
      </x:c>
      <x:c r="G10" s="11" t="str">
        <x:v>PUBLIC</x:v>
      </x:c>
      <x:c r="H10" s="11" t="str"/>
      <x:c r="I10" s="11" t="str">
        <x:v>https://zenodo.org/records/17503344</x:v>
      </x:c>
      <x:c r="J10" s="11" t="str"/>
      <x:c r="K10" s="11" t="str">
        <x:v>public/reach/public-release-timeline.csv</x:v>
      </x:c>
    </x:row>
    <x:row r="11">
      <x:c r="A11" s="11" t="str">
        <x:v>PUB-0010</x:v>
      </x:c>
      <x:c r="B11" s="11" t="str">
        <x:v>PUBLIC_RELEASE</x:v>
      </x:c>
      <x:c r="C11" s="11" t="str">
        <x:v>2025-11-02</x:v>
      </x:c>
      <x:c r="D11" s="11" t="str">
        <x:v>The Lietz Infinity Resolution Conjecture: Logarithmic Hierarchical Interfaces as the Tachyonic Pulled-Front Re-Expression of the Primitive Invariant</x:v>
      </x:c>
      <x:c r="E11" s="11" t="str">
        <x:v>10.5281/zenodo.19155667</x:v>
      </x:c>
      <x:c r="F11" s="11" t="str">
        <x:v>zenodo</x:v>
      </x:c>
      <x:c r="G11" s="11" t="str">
        <x:v>PUBLIC</x:v>
      </x:c>
      <x:c r="H11" s="11" t="str"/>
      <x:c r="I11" s="11" t="str">
        <x:v>https://zenodo.org/records/19155667</x:v>
      </x:c>
      <x:c r="J11" s="11" t="str"/>
      <x:c r="K11" s="11" t="str">
        <x:v>public/reach/public-release-timeline.csv</x:v>
      </x:c>
    </x:row>
    <x:row r="12">
      <x:c r="A12" s="11" t="str">
        <x:v>PUB-0011</x:v>
      </x:c>
      <x:c r="B12" s="11" t="str">
        <x:v>PUBLIC_RELEASE</x:v>
      </x:c>
      <x:c r="C12" s="11" t="str">
        <x:v>2025-11-04</x:v>
      </x:c>
      <x:c r="D12" s="11" t="str">
        <x:v>Counterfactual Echo Gain (CEG): A Metriplectic Assisted-Echo Experiment Proposal in VDM</x:v>
      </x:c>
      <x:c r="E12" s="11" t="str">
        <x:v>10.5281/zenodo.17525916</x:v>
      </x:c>
      <x:c r="F12" s="11" t="str">
        <x:v>zenodo</x:v>
      </x:c>
      <x:c r="G12" s="11" t="str">
        <x:v>PUBLIC</x:v>
      </x:c>
      <x:c r="H12" s="11" t="str"/>
      <x:c r="I12" s="11" t="str">
        <x:v>https://zenodo.org/records/17525916</x:v>
      </x:c>
      <x:c r="J12" s="11" t="str"/>
      <x:c r="K12" s="11" t="str">
        <x:v>public/reach/public-release-timeline.csv</x:v>
      </x:c>
    </x:row>
    <x:row r="13">
      <x:c r="A13" s="11" t="str">
        <x:v>PUB-0012</x:v>
      </x:c>
      <x:c r="B13" s="11" t="str">
        <x:v>PUBLIC_RELEASE</x:v>
      </x:c>
      <x:c r="C13" s="11" t="str">
        <x:v>2025-11-10</x:v>
      </x:c>
      <x:c r="D13" s="11" t="str">
        <x:v>Counterfactual Echo Gain (CEG): Future-Aware Metriplectic Assistance Yields Gate-Certified Echo Improvement</x:v>
      </x:c>
      <x:c r="E13" s="11" t="str">
        <x:v>10.5281/zenodo.17567396</x:v>
      </x:c>
      <x:c r="F13" s="11" t="str">
        <x:v>zenodo</x:v>
      </x:c>
      <x:c r="G13" s="11" t="str">
        <x:v>PUBLIC</x:v>
      </x:c>
      <x:c r="H13" s="11" t="str"/>
      <x:c r="I13" s="11" t="str">
        <x:v>https://zenodo.org/records/17567396</x:v>
      </x:c>
      <x:c r="J13" s="11" t="str"/>
      <x:c r="K13" s="11" t="str">
        <x:v>public/reach/public-release-timeline.csv</x:v>
      </x:c>
    </x:row>
    <x:row r="14">
      <x:c r="A14" s="11" t="str">
        <x:v>PUB-0013</x:v>
      </x:c>
      <x:c r="B14" s="11" t="str">
        <x:v>PUBLIC_RELEASE</x:v>
      </x:c>
      <x:c r="C14" s="11" t="str">
        <x:v>2025-11-24</x:v>
      </x:c>
      <x:c r="D14" s="11" t="str">
        <x:v>Packaged Release - VDM Unification Roadmap: From Quantum Waves to Cosmology</x:v>
      </x:c>
      <x:c r="E14" s="11" t="str">
        <x:v>10.5281/zenodo.17701735</x:v>
      </x:c>
      <x:c r="F14" s="11" t="str">
        <x:v>zenodo</x:v>
      </x:c>
      <x:c r="G14" s="11" t="str">
        <x:v>PUBLIC</x:v>
      </x:c>
      <x:c r="H14" s="11" t="str"/>
      <x:c r="I14" s="11" t="str">
        <x:v>https://zenodo.org/records/17701735</x:v>
      </x:c>
      <x:c r="J14" s="11" t="str"/>
      <x:c r="K14" s="11" t="str">
        <x:v>public/reach/public-release-timeline.csv</x:v>
      </x:c>
    </x:row>
    <x:row r="15">
      <x:c r="A15" s="11" t="str">
        <x:v>PUB-0014</x:v>
      </x:c>
      <x:c r="B15" s="11" t="str">
        <x:v>PUBLIC_RELEASE</x:v>
      </x:c>
      <x:c r="C15" s="11" t="str">
        <x:v>2025-11-24</x:v>
      </x:c>
      <x:c r="D15" s="11" t="str">
        <x:v>Packaged Release - VDM Unification Roadmap: From Quantum Waves to Cosmology</x:v>
      </x:c>
      <x:c r="E15" s="11" t="str">
        <x:v>10.5281/zenodo.17697113</x:v>
      </x:c>
      <x:c r="F15" s="11" t="str">
        <x:v>zenodo</x:v>
      </x:c>
      <x:c r="G15" s="11" t="str">
        <x:v>PUBLIC</x:v>
      </x:c>
      <x:c r="H15" s="11" t="str"/>
      <x:c r="I15" s="11" t="str">
        <x:v>https://zenodo.org/records/17697113</x:v>
      </x:c>
      <x:c r="J15" s="11" t="str"/>
      <x:c r="K15" s="11" t="str">
        <x:v>public/reach/public-release-timeline.csv</x:v>
      </x:c>
    </x:row>
    <x:row r="16">
      <x:c r="A16" s="11" t="str">
        <x:v>PUB-0015</x:v>
      </x:c>
      <x:c r="B16" s="11" t="str">
        <x:v>PUBLIC_RELEASE</x:v>
      </x:c>
      <x:c r="C16" s="11" t="str">
        <x:v>2025-12-09</x:v>
      </x:c>
      <x:c r="D16" s="11" t="str">
        <x:v>Dynamic, self managing biology-like memory layer for LLMs. Give your agent the ability to remember and forget in three s</x:v>
      </x:c>
      <x:c r="E16" s="11" t="str">
        <x:v>Neuroca-Inc/_Neuroca</x:v>
      </x:c>
      <x:c r="F16" s="11" t="str">
        <x:v>github</x:v>
      </x:c>
      <x:c r="G16" s="11" t="str">
        <x:v>PUBLIC</x:v>
      </x:c>
      <x:c r="H16" s="11" t="str"/>
      <x:c r="I16" s="11" t="str">
        <x:v>https://github.com/Neuroca-Inc/_Neuroca</x:v>
      </x:c>
      <x:c r="J16" s="11" t="str"/>
      <x:c r="K16" s="11" t="str">
        <x:v>public/reach/public-release-timeline.csv</x:v>
      </x:c>
    </x:row>
    <x:row r="17">
      <x:c r="A17" s="11" t="str">
        <x:v>PUB-0016</x:v>
      </x:c>
      <x:c r="B17" s="11" t="str">
        <x:v>PUBLIC_RELEASE</x:v>
      </x:c>
      <x:c r="C17" s="11" t="str">
        <x:v>2026-02-11</x:v>
      </x:c>
      <x:c r="D17" s="11" t="str">
        <x:v>Data Analysis on Early Run Logs of The Void Dynamics Model Runtime</x:v>
      </x:c>
      <x:c r="E17" s="11" t="str">
        <x:v>10.5281/zenodo.18607800</x:v>
      </x:c>
      <x:c r="F17" s="11" t="str">
        <x:v>zenodo</x:v>
      </x:c>
      <x:c r="G17" s="11" t="str">
        <x:v>PUBLIC</x:v>
      </x:c>
      <x:c r="H17" s="11" t="str"/>
      <x:c r="I17" s="11" t="str">
        <x:v>https://zenodo.org/records/18607800</x:v>
      </x:c>
      <x:c r="J17" s="11" t="str"/>
      <x:c r="K17" s="11" t="str">
        <x:v>public/reach/public-release-timeline.csv</x:v>
      </x:c>
    </x:row>
    <x:row r="18">
      <x:c r="A18" s="11" t="str">
        <x:v>PUB-0017</x:v>
      </x:c>
      <x:c r="B18" s="11" t="str">
        <x:v>PUBLIC_RELEASE</x:v>
      </x:c>
      <x:c r="C18" s="11" t="str">
        <x:v>2026-02-17</x:v>
      </x:c>
      <x:c r="D18" s="11" t="str">
        <x:v>CF01: Complete Formalism - Quantum Geometric Tensor to Metriplectic Brackets</x:v>
      </x:c>
      <x:c r="E18" s="11" t="str">
        <x:v>10.5281/zenodo.18675122</x:v>
      </x:c>
      <x:c r="F18" s="11" t="str">
        <x:v>zenodo</x:v>
      </x:c>
      <x:c r="G18" s="11" t="str">
        <x:v>PUBLIC</x:v>
      </x:c>
      <x:c r="H18" s="11" t="str"/>
      <x:c r="I18" s="11" t="str">
        <x:v>https://zenodo.org/records/18675122</x:v>
      </x:c>
      <x:c r="J18" s="11" t="str"/>
      <x:c r="K18" s="11" t="str">
        <x:v>public/reach/public-release-timeline.csv</x:v>
      </x:c>
    </x:row>
    <x:row r="19">
      <x:c r="A19" s="11" t="str">
        <x:v>PUB-0018</x:v>
      </x:c>
      <x:c r="B19" s="11" t="str">
        <x:v>PUBLIC_RELEASE</x:v>
      </x:c>
      <x:c r="C19" s="11" t="str">
        <x:v>2026-02-17</x:v>
      </x:c>
      <x:c r="D19" s="11" t="str">
        <x:v>CF02: Contact to Metriplectic Evolution</x:v>
      </x:c>
      <x:c r="E19" s="11" t="str">
        <x:v>10.5281/zenodo.18675169</x:v>
      </x:c>
      <x:c r="F19" s="11" t="str">
        <x:v>zenodo</x:v>
      </x:c>
      <x:c r="G19" s="11" t="str">
        <x:v>PUBLIC</x:v>
      </x:c>
      <x:c r="H19" s="11" t="str"/>
      <x:c r="I19" s="11" t="str">
        <x:v>https://zenodo.org/records/18675169</x:v>
      </x:c>
      <x:c r="J19" s="11" t="str"/>
      <x:c r="K19" s="11" t="str">
        <x:v>public/reach/public-release-timeline.csv</x:v>
      </x:c>
    </x:row>
    <x:row r="20">
      <x:c r="A20" s="11" t="str">
        <x:v>PUB-0019</x:v>
      </x:c>
      <x:c r="B20" s="11" t="str">
        <x:v>PUBLIC_RELEASE</x:v>
      </x:c>
      <x:c r="C20" s="11" t="str">
        <x:v>2026-02-17</x:v>
      </x:c>
      <x:c r="D20" s="11" t="str">
        <x:v>CF03: Complete Formalism — A8 Scaling Theorem (Hierarchical Tachyonic Interfaces)</x:v>
      </x:c>
      <x:c r="E20" s="11" t="str">
        <x:v>10.5281/zenodo.18675407</x:v>
      </x:c>
      <x:c r="F20" s="11" t="str">
        <x:v>zenodo</x:v>
      </x:c>
      <x:c r="G20" s="11" t="str">
        <x:v>PUBLIC</x:v>
      </x:c>
      <x:c r="H20" s="11" t="str"/>
      <x:c r="I20" s="11" t="str">
        <x:v>https://zenodo.org/records/18675407</x:v>
      </x:c>
      <x:c r="J20" s="11" t="str"/>
      <x:c r="K20" s="11" t="str">
        <x:v>public/reach/public-release-timeline.csv</x:v>
      </x:c>
    </x:row>
    <x:row r="21">
      <x:c r="A21" s="11" t="str">
        <x:v>PUB-0020</x:v>
      </x:c>
      <x:c r="B21" s="11" t="str">
        <x:v>PUBLIC_RELEASE</x:v>
      </x:c>
      <x:c r="C21" s="11" t="str">
        <x:v>2026-02-17</x:v>
      </x:c>
      <x:c r="D21" s="11" t="str">
        <x:v>CF03: Complete Formalism — A8 Scaling Theorem (Hierarchical Tachyonic Interfaces)</x:v>
      </x:c>
      <x:c r="E21" s="11" t="str">
        <x:v>10.5281/zenodo.18675227</x:v>
      </x:c>
      <x:c r="F21" s="11" t="str">
        <x:v>zenodo</x:v>
      </x:c>
      <x:c r="G21" s="11" t="str">
        <x:v>PUBLIC</x:v>
      </x:c>
      <x:c r="H21" s="11" t="str"/>
      <x:c r="I21" s="11" t="str">
        <x:v>https://zenodo.org/records/18675227</x:v>
      </x:c>
      <x:c r="J21" s="11" t="str"/>
      <x:c r="K21" s="11" t="str">
        <x:v>public/reach/public-release-timeline.csv</x:v>
      </x:c>
    </x:row>
    <x:row r="22">
      <x:c r="A22" s="11" t="str">
        <x:v>PUB-0021</x:v>
      </x:c>
      <x:c r="B22" s="11" t="str">
        <x:v>PUBLIC_RELEASE</x:v>
      </x:c>
      <x:c r="C22" s="11" t="str">
        <x:v>2026-02-17</x:v>
      </x:c>
      <x:c r="D22" s="11" t="str">
        <x:v>CF04: Complete Formalism — Telegraph-Fisher Causality (Finite-Speed Transport)</x:v>
      </x:c>
      <x:c r="E22" s="11" t="str">
        <x:v>10.5281/zenodo.18675565</x:v>
      </x:c>
      <x:c r="F22" s="11" t="str">
        <x:v>zenodo</x:v>
      </x:c>
      <x:c r="G22" s="11" t="str">
        <x:v>PUBLIC</x:v>
      </x:c>
      <x:c r="H22" s="11" t="str"/>
      <x:c r="I22" s="11" t="str">
        <x:v>https://zenodo.org/records/18675565</x:v>
      </x:c>
      <x:c r="J22" s="11" t="str"/>
      <x:c r="K22" s="11" t="str">
        <x:v>public/reach/public-release-timeline.csv</x:v>
      </x:c>
    </x:row>
    <x:row r="23">
      <x:c r="A23" s="11" t="str">
        <x:v>PUB-0022</x:v>
      </x:c>
      <x:c r="B23" s="11" t="str">
        <x:v>PUBLIC_RELEASE</x:v>
      </x:c>
      <x:c r="C23" s="11" t="str">
        <x:v>2026-02-17</x:v>
      </x:c>
      <x:c r="D23" s="11" t="str">
        <x:v>CF04: Complete Formalism — Telegraph-Fisher Causality (Finite-Speed Transport)</x:v>
      </x:c>
      <x:c r="E23" s="11" t="str">
        <x:v>10.5281/zenodo.18675381</x:v>
      </x:c>
      <x:c r="F23" s="11" t="str">
        <x:v>zenodo</x:v>
      </x:c>
      <x:c r="G23" s="11" t="str">
        <x:v>PUBLIC</x:v>
      </x:c>
      <x:c r="H23" s="11" t="str"/>
      <x:c r="I23" s="11" t="str">
        <x:v>https://zenodo.org/records/18675381</x:v>
      </x:c>
      <x:c r="J23" s="11" t="str"/>
      <x:c r="K23" s="11" t="str">
        <x:v>public/reach/public-release-timeline.csv</x:v>
      </x:c>
    </x:row>
    <x:row r="24">
      <x:c r="A24" s="11" t="str">
        <x:v>PUB-0023</x:v>
      </x:c>
      <x:c r="B24" s="11" t="str">
        <x:v>PUBLIC_RELEASE</x:v>
      </x:c>
      <x:c r="C24" s="11" t="str">
        <x:v>2026-02-17</x:v>
      </x:c>
      <x:c r="D24" s="11" t="str">
        <x:v>CF04: Complete Formalism — Telegraph-Fisher Causality (Finite-Speed Transport)</x:v>
      </x:c>
      <x:c r="E24" s="11" t="str">
        <x:v>10.5281/zenodo.18675239</x:v>
      </x:c>
      <x:c r="F24" s="11" t="str">
        <x:v>zenodo</x:v>
      </x:c>
      <x:c r="G24" s="11" t="str">
        <x:v>PUBLIC</x:v>
      </x:c>
      <x:c r="H24" s="11" t="str"/>
      <x:c r="I24" s="11" t="str">
        <x:v>https://zenodo.org/records/18675239</x:v>
      </x:c>
      <x:c r="J24" s="11" t="str"/>
      <x:c r="K24" s="11" t="str">
        <x:v>public/reach/public-release-timeline.csv</x:v>
      </x:c>
    </x:row>
    <x:row r="25">
      <x:c r="A25" s="11" t="str">
        <x:v>PUB-0024</x:v>
      </x:c>
      <x:c r="B25" s="11" t="str">
        <x:v>PUBLIC_RELEASE</x:v>
      </x:c>
      <x:c r="C25" s="11" t="str">
        <x:v>2026-02-17</x:v>
      </x:c>
      <x:c r="D25" s="11" t="str">
        <x:v>CF05: Complete Formalism — Integrability Closure (No Hidden Conserved Quantities)</x:v>
      </x:c>
      <x:c r="E25" s="11" t="str">
        <x:v>10.5281/zenodo.18675786</x:v>
      </x:c>
      <x:c r="F25" s="11" t="str">
        <x:v>zenodo</x:v>
      </x:c>
      <x:c r="G25" s="11" t="str">
        <x:v>PUBLIC</x:v>
      </x:c>
      <x:c r="H25" s="11" t="str"/>
      <x:c r="I25" s="11" t="str">
        <x:v>https://zenodo.org/records/18675786</x:v>
      </x:c>
      <x:c r="J25" s="11" t="str"/>
      <x:c r="K25" s="11" t="str">
        <x:v>public/reach/public-release-timeline.csv</x:v>
      </x:c>
    </x:row>
    <x:row r="26">
      <x:c r="A26" s="11" t="str">
        <x:v>PUB-0025</x:v>
      </x:c>
      <x:c r="B26" s="11" t="str">
        <x:v>PUBLIC_RELEASE</x:v>
      </x:c>
      <x:c r="C26" s="11" t="str">
        <x:v>2026-02-17</x:v>
      </x:c>
      <x:c r="D26" s="11" t="str">
        <x:v>CF05: Complete Formalism — Integrability Closure (No Hidden Conserved Quantities)</x:v>
      </x:c>
      <x:c r="E26" s="11" t="str">
        <x:v>10.5281/zenodo.18675256</x:v>
      </x:c>
      <x:c r="F26" s="11" t="str">
        <x:v>zenodo</x:v>
      </x:c>
      <x:c r="G26" s="11" t="str">
        <x:v>PUBLIC</x:v>
      </x:c>
      <x:c r="H26" s="11" t="str"/>
      <x:c r="I26" s="11" t="str">
        <x:v>https://zenodo.org/records/18675256</x:v>
      </x:c>
      <x:c r="J26" s="11" t="str"/>
      <x:c r="K26" s="11" t="str">
        <x:v>public/reach/public-release-timeline.csv</x:v>
      </x:c>
    </x:row>
    <x:row r="27">
      <x:c r="A27" s="11" t="str">
        <x:v>PUB-0026</x:v>
      </x:c>
      <x:c r="B27" s="11" t="str">
        <x:v>PUBLIC_RELEASE</x:v>
      </x:c>
      <x:c r="C27" s="11" t="str">
        <x:v>2026-02-17</x:v>
      </x:c>
      <x:c r="D27" s="11" t="str">
        <x:v>CF06: Information Geometry Foundations — Fisher and Ruppeiner Metrics for VDM M-Limb</x:v>
      </x:c>
      <x:c r="E27" s="11" t="str">
        <x:v>10.5281/zenodo.18675861</x:v>
      </x:c>
      <x:c r="F27" s="11" t="str">
        <x:v>zenodo</x:v>
      </x:c>
      <x:c r="G27" s="11" t="str">
        <x:v>PUBLIC</x:v>
      </x:c>
      <x:c r="H27" s="11" t="str"/>
      <x:c r="I27" s="11" t="str">
        <x:v>https://zenodo.org/records/18675861</x:v>
      </x:c>
      <x:c r="J27" s="11" t="str"/>
      <x:c r="K27" s="11" t="str">
        <x:v>public/reach/public-release-timeline.csv</x:v>
      </x:c>
    </x:row>
    <x:row r="28">
      <x:c r="A28" s="11" t="str">
        <x:v>PUB-0027</x:v>
      </x:c>
      <x:c r="B28" s="11" t="str">
        <x:v>PUBLIC_RELEASE</x:v>
      </x:c>
      <x:c r="C28" s="11" t="str">
        <x:v>2026-02-17</x:v>
      </x:c>
      <x:c r="D28" s="11" t="str">
        <x:v>CF06: Information Geometry Foundations — Fisher and Ruppeiner Metrics for VDM M-Limb</x:v>
      </x:c>
      <x:c r="E28" s="11" t="str">
        <x:v>10.5281/zenodo.18675267</x:v>
      </x:c>
      <x:c r="F28" s="11" t="str">
        <x:v>zenodo</x:v>
      </x:c>
      <x:c r="G28" s="11" t="str">
        <x:v>PUBLIC</x:v>
      </x:c>
      <x:c r="H28" s="11" t="str"/>
      <x:c r="I28" s="11" t="str">
        <x:v>https://zenodo.org/records/18675267</x:v>
      </x:c>
      <x:c r="J28" s="11" t="str"/>
      <x:c r="K28" s="11" t="str">
        <x:v>public/reach/public-release-timeline.csv</x:v>
      </x:c>
    </x:row>
    <x:row r="29">
      <x:c r="A29" s="11" t="str">
        <x:v>PUB-0028</x:v>
      </x:c>
      <x:c r="B29" s="11" t="str">
        <x:v>PUBLIC_RELEASE</x:v>
      </x:c>
      <x:c r="C29" s="11" t="str">
        <x:v>2026-02-17</x:v>
      </x:c>
      <x:c r="D29" s="11" t="str">
        <x:v>CF07: Measurement Theory Foundations — Decoherence and Born Rule for VDM</x:v>
      </x:c>
      <x:c r="E29" s="11" t="str">
        <x:v>10.5281/zenodo.18676091</x:v>
      </x:c>
      <x:c r="F29" s="11" t="str">
        <x:v>zenodo</x:v>
      </x:c>
      <x:c r="G29" s="11" t="str">
        <x:v>PUBLIC</x:v>
      </x:c>
      <x:c r="H29" s="11" t="str"/>
      <x:c r="I29" s="11" t="str">
        <x:v>https://zenodo.org/records/18676091</x:v>
      </x:c>
      <x:c r="J29" s="11" t="str"/>
      <x:c r="K29" s="11" t="str">
        <x:v>public/reach/public-release-timeline.csv</x:v>
      </x:c>
    </x:row>
    <x:row r="30">
      <x:c r="A30" s="11" t="str">
        <x:v>PUB-0029</x:v>
      </x:c>
      <x:c r="B30" s="11" t="str">
        <x:v>PUBLIC_RELEASE</x:v>
      </x:c>
      <x:c r="C30" s="11" t="str">
        <x:v>2026-02-17</x:v>
      </x:c>
      <x:c r="D30" s="11" t="str">
        <x:v>CF07: Measurement Theory Foundations — Decoherence and Born Rule for VDM</x:v>
      </x:c>
      <x:c r="E30" s="11" t="str">
        <x:v>10.5281/zenodo.18675276</x:v>
      </x:c>
      <x:c r="F30" s="11" t="str">
        <x:v>zenodo</x:v>
      </x:c>
      <x:c r="G30" s="11" t="str">
        <x:v>PUBLIC</x:v>
      </x:c>
      <x:c r="H30" s="11" t="str"/>
      <x:c r="I30" s="11" t="str">
        <x:v>https://zenodo.org/records/18675276</x:v>
      </x:c>
      <x:c r="J30" s="11" t="str"/>
      <x:c r="K30" s="11" t="str">
        <x:v>public/reach/public-release-timeline.csv</x:v>
      </x:c>
    </x:row>
    <x:row r="31">
      <x:c r="A31" s="11" t="str">
        <x:v>PUB-0030</x:v>
      </x:c>
      <x:c r="B31" s="11" t="str">
        <x:v>PUBLIC_RELEASE</x:v>
      </x:c>
      <x:c r="C31" s="11" t="str">
        <x:v>2026-02-17</x:v>
      </x:c>
      <x:c r="D31" s="11" t="str">
        <x:v>CF08: Complete Formalism — Spinor Emergence via Domain-Wall Fermions in VDM</x:v>
      </x:c>
      <x:c r="E31" s="11" t="str">
        <x:v>10.5281/zenodo.18675290</x:v>
      </x:c>
      <x:c r="F31" s="11" t="str">
        <x:v>zenodo</x:v>
      </x:c>
      <x:c r="G31" s="11" t="str">
        <x:v>PUBLIC</x:v>
      </x:c>
      <x:c r="H31" s="11" t="str"/>
      <x:c r="I31" s="11" t="str">
        <x:v>https://zenodo.org/records/18675290</x:v>
      </x:c>
      <x:c r="J31" s="11" t="str"/>
      <x:c r="K31" s="11" t="str">
        <x:v>public/reach/public-release-timeline.csv</x:v>
      </x:c>
    </x:row>
    <x:row r="32">
      <x:c r="A32" s="11" t="str">
        <x:v>PUB-0031</x:v>
      </x:c>
      <x:c r="B32" s="11" t="str">
        <x:v>PUBLIC_RELEASE</x:v>
      </x:c>
      <x:c r="C32" s="11" t="str">
        <x:v>2026-02-17</x:v>
      </x:c>
      <x:c r="D32" s="11" t="str">
        <x:v>CF08: Spinor Emergence via Domain-Wall Fermions in VDM</x:v>
      </x:c>
      <x:c r="E32" s="11" t="str">
        <x:v>10.5281/zenodo.18676137</x:v>
      </x:c>
      <x:c r="F32" s="11" t="str">
        <x:v>zenodo</x:v>
      </x:c>
      <x:c r="G32" s="11" t="str">
        <x:v>PUBLIC</x:v>
      </x:c>
      <x:c r="H32" s="11" t="str"/>
      <x:c r="I32" s="11" t="str">
        <x:v>https://zenodo.org/records/18676137</x:v>
      </x:c>
      <x:c r="J32" s="11" t="str"/>
      <x:c r="K32" s="11" t="str">
        <x:v>public/reach/public-release-timeline.csv</x:v>
      </x:c>
    </x:row>
    <x:row r="33">
      <x:c r="A33" s="11" t="str">
        <x:v>PUB-0032</x:v>
      </x:c>
      <x:c r="B33" s="11" t="str">
        <x:v>PUBLIC_RELEASE</x:v>
      </x:c>
      <x:c r="C33" s="11" t="str">
        <x:v>2026-02-17</x:v>
      </x:c>
      <x:c r="D33" s="11" t="str">
        <x:v>CF09: Complete Formalism — Gauge Field Emergence via Berry Connection in VDM</x:v>
      </x:c>
      <x:c r="E33" s="11" t="str">
        <x:v>10.5281/zenodo.18675301</x:v>
      </x:c>
      <x:c r="F33" s="11" t="str">
        <x:v>zenodo</x:v>
      </x:c>
      <x:c r="G33" s="11" t="str">
        <x:v>PUBLIC</x:v>
      </x:c>
      <x:c r="H33" s="11" t="str"/>
      <x:c r="I33" s="11" t="str">
        <x:v>https://zenodo.org/records/18675301</x:v>
      </x:c>
      <x:c r="J33" s="11" t="str"/>
      <x:c r="K33" s="11" t="str">
        <x:v>public/reach/public-release-timeline.csv</x:v>
      </x:c>
    </x:row>
    <x:row r="34">
      <x:c r="A34" s="11" t="str">
        <x:v>PUB-0033</x:v>
      </x:c>
      <x:c r="B34" s="11" t="str">
        <x:v>PUBLIC_RELEASE</x:v>
      </x:c>
      <x:c r="C34" s="11" t="str">
        <x:v>2026-02-17</x:v>
      </x:c>
      <x:c r="D34" s="11" t="str">
        <x:v>CF09: Gauge Field Emergence via Berry Connection in VDM</x:v>
      </x:c>
      <x:c r="E34" s="11" t="str">
        <x:v>10.5281/zenodo.18676231</x:v>
      </x:c>
      <x:c r="F34" s="11" t="str">
        <x:v>zenodo</x:v>
      </x:c>
      <x:c r="G34" s="11" t="str">
        <x:v>PUBLIC</x:v>
      </x:c>
      <x:c r="H34" s="11" t="str"/>
      <x:c r="I34" s="11" t="str">
        <x:v>https://zenodo.org/records/18676231</x:v>
      </x:c>
      <x:c r="J34" s="11" t="str"/>
      <x:c r="K34" s="11" t="str">
        <x:v>public/reach/public-release-timeline.csv</x:v>
      </x:c>
    </x:row>
    <x:row r="35">
      <x:c r="A35" s="11" t="str">
        <x:v>PUB-0034</x:v>
      </x:c>
      <x:c r="B35" s="11" t="str">
        <x:v>PUBLIC_RELEASE</x:v>
      </x:c>
      <x:c r="C35" s="11" t="str">
        <x:v>2026-02-17</x:v>
      </x:c>
      <x:c r="D35" s="11" t="str">
        <x:v>CF10: Complete Formalism — VDM Lattice Hydrodynamics, Continuum Limit, and Regularity Program</x:v>
      </x:c>
      <x:c r="E35" s="11" t="str">
        <x:v>10.5281/zenodo.18675311</x:v>
      </x:c>
      <x:c r="F35" s="11" t="str">
        <x:v>zenodo</x:v>
      </x:c>
      <x:c r="G35" s="11" t="str">
        <x:v>PUBLIC</x:v>
      </x:c>
      <x:c r="H35" s="11" t="str"/>
      <x:c r="I35" s="11" t="str">
        <x:v>https://zenodo.org/records/18675311</x:v>
      </x:c>
      <x:c r="J35" s="11" t="str"/>
      <x:c r="K35" s="11" t="str">
        <x:v>public/reach/public-release-timeline.csv</x:v>
      </x:c>
    </x:row>
    <x:row r="36">
      <x:c r="A36" s="11" t="str">
        <x:v>PUB-0035</x:v>
      </x:c>
      <x:c r="B36" s="11" t="str">
        <x:v>PUBLIC_RELEASE</x:v>
      </x:c>
      <x:c r="C36" s="11" t="str">
        <x:v>2026-02-17</x:v>
      </x:c>
      <x:c r="D36" s="11" t="str">
        <x:v>CF10: VDM Lattice Hydrodynamics, Continuum Limit, and Regularity Program</x:v>
      </x:c>
      <x:c r="E36" s="11" t="str">
        <x:v>10.5281/zenodo.18676423</x:v>
      </x:c>
      <x:c r="F36" s="11" t="str">
        <x:v>zenodo</x:v>
      </x:c>
      <x:c r="G36" s="11" t="str">
        <x:v>PUBLIC</x:v>
      </x:c>
      <x:c r="H36" s="11" t="str"/>
      <x:c r="I36" s="11" t="str">
        <x:v>https://zenodo.org/records/18676423</x:v>
      </x:c>
      <x:c r="J36" s="11" t="str"/>
      <x:c r="K36" s="11" t="str">
        <x:v>public/reach/public-release-timeline.csv</x:v>
      </x:c>
    </x:row>
    <x:row r="37">
      <x:c r="A37" s="11" t="str">
        <x:v>PUB-0036</x:v>
      </x:c>
      <x:c r="B37" s="11" t="str">
        <x:v>PUBLIC_RELEASE</x:v>
      </x:c>
      <x:c r="C37" s="11" t="str">
        <x:v>2026-02-17</x:v>
      </x:c>
      <x:c r="D37" s="11" t="str">
        <x:v>CF11: Dark Sector Emergence from Metriplectic Dynamics</x:v>
      </x:c>
      <x:c r="E37" s="11" t="str">
        <x:v>10.5281/zenodo.18676468</x:v>
      </x:c>
      <x:c r="F37" s="11" t="str">
        <x:v>zenodo</x:v>
      </x:c>
      <x:c r="G37" s="11" t="str">
        <x:v>PUBLIC</x:v>
      </x:c>
      <x:c r="H37" s="11" t="str"/>
      <x:c r="I37" s="11" t="str">
        <x:v>https://zenodo.org/records/18676468</x:v>
      </x:c>
      <x:c r="J37" s="11" t="str"/>
      <x:c r="K37" s="11" t="str">
        <x:v>public/reach/public-release-timeline.csv</x:v>
      </x:c>
    </x:row>
    <x:row r="38">
      <x:c r="A38" s="11" t="str">
        <x:v>PUB-0037</x:v>
      </x:c>
      <x:c r="B38" s="11" t="str">
        <x:v>PUBLIC_RELEASE</x:v>
      </x:c>
      <x:c r="C38" s="11" t="str">
        <x:v>2026-02-17</x:v>
      </x:c>
      <x:c r="D38" s="11" t="str">
        <x:v>CF11: Dark Sector Emergence from Metriplectic Dynamics</x:v>
      </x:c>
      <x:c r="E38" s="11" t="str">
        <x:v>10.5281/zenodo.18675323</x:v>
      </x:c>
      <x:c r="F38" s="11" t="str">
        <x:v>zenodo</x:v>
      </x:c>
      <x:c r="G38" s="11" t="str">
        <x:v>PUBLIC</x:v>
      </x:c>
      <x:c r="H38" s="11" t="str"/>
      <x:c r="I38" s="11" t="str">
        <x:v>https://zenodo.org/records/18675323</x:v>
      </x:c>
      <x:c r="J38" s="11" t="str"/>
      <x:c r="K38" s="11" t="str">
        <x:v>public/reach/public-release-timeline.csv</x:v>
      </x:c>
    </x:row>
    <x:row r="39">
      <x:c r="A39" s="11" t="str">
        <x:v>PUB-0038</x:v>
      </x:c>
      <x:c r="B39" s="11" t="str">
        <x:v>PUBLIC_RELEASE</x:v>
      </x:c>
      <x:c r="C39" s="11" t="str">
        <x:v>2026-02-19</x:v>
      </x:c>
      <x:c r="D39" s="11" t="str">
        <x:v>Four Independent Complex-Adaptive Signatures From A Structurally-Plastic Connectome Run</x:v>
      </x:c>
      <x:c r="E39" s="11" t="str">
        <x:v>10.5281/zenodo.18706821</x:v>
      </x:c>
      <x:c r="F39" s="11" t="str">
        <x:v>zenodo</x:v>
      </x:c>
      <x:c r="G39" s="11" t="str">
        <x:v>PUBLIC</x:v>
      </x:c>
      <x:c r="H39" s="11" t="str"/>
      <x:c r="I39" s="11" t="str">
        <x:v>https://zenodo.org/records/18706821</x:v>
      </x:c>
      <x:c r="J39" s="11" t="str"/>
      <x:c r="K39" s="11" t="str">
        <x:v>public/reach/public-release-timeline.csv</x:v>
      </x:c>
    </x:row>
    <x:row r="40">
      <x:c r="A40" s="11" t="str">
        <x:v>PUB-0039</x:v>
      </x:c>
      <x:c r="B40" s="11" t="str">
        <x:v>PUBLIC_RELEASE</x:v>
      </x:c>
      <x:c r="C40" s="11" t="str">
        <x:v>2026-02-19</x:v>
      </x:c>
      <x:c r="D40" s="11" t="str">
        <x:v>Predictive Feature Architectures For Self-Supervised Say-Events in VDM</x:v>
      </x:c>
      <x:c r="E40" s="11" t="str">
        <x:v>10.5281/zenodo.19564798</x:v>
      </x:c>
      <x:c r="F40" s="11" t="str">
        <x:v>zenodo</x:v>
      </x:c>
      <x:c r="G40" s="11" t="str">
        <x:v>PUBLIC</x:v>
      </x:c>
      <x:c r="H40" s="11" t="str"/>
      <x:c r="I40" s="11" t="str">
        <x:v>https://zenodo.org/records/19564798</x:v>
      </x:c>
      <x:c r="J40" s="11" t="str"/>
      <x:c r="K40" s="11" t="str">
        <x:v>public/reach/public-release-timeline.csv</x:v>
      </x:c>
    </x:row>
    <x:row r="41">
      <x:c r="A41" s="11" t="str">
        <x:v>PUB-0040</x:v>
      </x:c>
      <x:c r="B41" s="11" t="str">
        <x:v>PUBLIC_RELEASE</x:v>
      </x:c>
      <x:c r="C41" s="11" t="str">
        <x:v>2026-02-19</x:v>
      </x:c>
      <x:c r="D41" s="11" t="str">
        <x:v>VDM Runtime Results: Four Offline Proofs From A Structurally-Plastic Connectome Run</x:v>
      </x:c>
      <x:c r="E41" s="11" t="str">
        <x:v>10.5281/zenodo.18702788</x:v>
      </x:c>
      <x:c r="F41" s="11" t="str">
        <x:v>zenodo</x:v>
      </x:c>
      <x:c r="G41" s="11" t="str">
        <x:v>PUBLIC</x:v>
      </x:c>
      <x:c r="H41" s="11" t="str"/>
      <x:c r="I41" s="11" t="str">
        <x:v>https://zenodo.org/records/18702788</x:v>
      </x:c>
      <x:c r="J41" s="11" t="str"/>
      <x:c r="K41" s="11" t="str">
        <x:v>public/reach/public-release-timeline.csv</x:v>
      </x:c>
    </x:row>
    <x:row r="42">
      <x:c r="A42" s="11" t="str">
        <x:v>PUB-0041</x:v>
      </x:c>
      <x:c r="B42" s="11" t="str">
        <x:v>PUBLIC_RELEASE</x:v>
      </x:c>
      <x:c r="C42" s="11" t="str">
        <x:v>2026-02-20</x:v>
      </x:c>
      <x:c r="D42" s="11" t="str">
        <x:v>Four Independent Complex-Adaptive Signatures From A Structurally-Plastic Connectome Run</x:v>
      </x:c>
      <x:c r="E42" s="11" t="str">
        <x:v>10.5281/zenodo.19570959</x:v>
      </x:c>
      <x:c r="F42" s="11" t="str">
        <x:v>zenodo</x:v>
      </x:c>
      <x:c r="G42" s="11" t="str">
        <x:v>PUBLIC</x:v>
      </x:c>
      <x:c r="H42" s="11" t="str"/>
      <x:c r="I42" s="11" t="str">
        <x:v>https://zenodo.org/records/19570959</x:v>
      </x:c>
      <x:c r="J42" s="11" t="str"/>
      <x:c r="K42" s="11" t="str">
        <x:v>public/reach/public-release-timeline.csv</x:v>
      </x:c>
    </x:row>
    <x:row r="43">
      <x:c r="A43" s="11" t="str">
        <x:v>PUB-0042</x:v>
      </x:c>
      <x:c r="B43" s="11" t="str">
        <x:v>PUBLIC_RELEASE</x:v>
      </x:c>
      <x:c r="C43" s="11" t="str">
        <x:v>2026-02-20</x:v>
      </x:c>
      <x:c r="D43" s="11" t="str">
        <x:v>Predictive Feature Architectures For Self-Supervised Say-Events in VDM</x:v>
      </x:c>
      <x:c r="E43" s="11" t="str">
        <x:v>10.5281/zenodo.18707220</x:v>
      </x:c>
      <x:c r="F43" s="11" t="str">
        <x:v>zenodo</x:v>
      </x:c>
      <x:c r="G43" s="11" t="str">
        <x:v>PUBLIC</x:v>
      </x:c>
      <x:c r="H43" s="11" t="str"/>
      <x:c r="I43" s="11" t="str">
        <x:v>https://zenodo.org/records/18707220</x:v>
      </x:c>
      <x:c r="J43" s="11" t="str"/>
      <x:c r="K43" s="11" t="str">
        <x:v>public/reach/public-release-timeline.csv</x:v>
      </x:c>
    </x:row>
    <x:row r="44">
      <x:c r="A44" s="11" t="str">
        <x:v>PUB-0043</x:v>
      </x:c>
      <x:c r="B44" s="11" t="str">
        <x:v>PUBLIC_RELEASE</x:v>
      </x:c>
      <x:c r="C44" s="11" t="str">
        <x:v>2026-02-21</x:v>
      </x:c>
      <x:c r="D44" s="11" t="str">
        <x:v>Causal Density Dynamics and Markov Entropy in Artificial Cognition</x:v>
      </x:c>
      <x:c r="E44" s="11" t="str">
        <x:v>10.5281/zenodo.19570286</x:v>
      </x:c>
      <x:c r="F44" s="11" t="str">
        <x:v>zenodo</x:v>
      </x:c>
      <x:c r="G44" s="11" t="str">
        <x:v>PUBLIC</x:v>
      </x:c>
      <x:c r="H44" s="11" t="str"/>
      <x:c r="I44" s="11" t="str">
        <x:v>https://zenodo.org/records/19570286</x:v>
      </x:c>
      <x:c r="J44" s="11" t="str"/>
      <x:c r="K44" s="11" t="str">
        <x:v>public/reach/public-release-timeline.csv</x:v>
      </x:c>
    </x:row>
    <x:row r="45">
      <x:c r="A45" s="11" t="str">
        <x:v>PUB-0044</x:v>
      </x:c>
      <x:c r="B45" s="11" t="str">
        <x:v>PUBLIC_RELEASE</x:v>
      </x:c>
      <x:c r="C45" s="11" t="str">
        <x:v>2026-02-21</x:v>
      </x:c>
      <x:c r="D45" s="11" t="str">
        <x:v>Causal Density Dynamics and Markov Entropy in Artificial Cognition</x:v>
      </x:c>
      <x:c r="E45" s="11" t="str">
        <x:v>10.5281/zenodo.18726601</x:v>
      </x:c>
      <x:c r="F45" s="11" t="str">
        <x:v>zenodo</x:v>
      </x:c>
      <x:c r="G45" s="11" t="str">
        <x:v>PUBLIC</x:v>
      </x:c>
      <x:c r="H45" s="11" t="str"/>
      <x:c r="I45" s="11" t="str">
        <x:v>https://zenodo.org/records/18726601</x:v>
      </x:c>
      <x:c r="J45" s="11" t="str"/>
      <x:c r="K45" s="11" t="str">
        <x:v>public/reach/public-release-timeline.csv</x:v>
      </x:c>
    </x:row>
    <x:row r="46">
      <x:c r="A46" s="11" t="str">
        <x:v>PUB-0045</x:v>
      </x:c>
      <x:c r="B46" s="11" t="str">
        <x:v>PUBLIC_RELEASE</x:v>
      </x:c>
      <x:c r="C46" s="11" t="str">
        <x:v>2026-02-21</x:v>
      </x:c>
      <x:c r="D46" s="11" t="str">
        <x:v>Complexity Metric Dashboards for Artificial Consciousness: A Multi-Measure Instrument for Real-Time Cognitive Runtimes</x:v>
      </x:c>
      <x:c r="E46" s="11" t="str">
        <x:v>10.5281/zenodo.19567985</x:v>
      </x:c>
      <x:c r="F46" s="11" t="str">
        <x:v>zenodo</x:v>
      </x:c>
      <x:c r="G46" s="11" t="str">
        <x:v>PUBLIC</x:v>
      </x:c>
      <x:c r="H46" s="11" t="str"/>
      <x:c r="I46" s="11" t="str">
        <x:v>https://zenodo.org/records/19567985</x:v>
      </x:c>
      <x:c r="J46" s="11" t="str"/>
      <x:c r="K46" s="11" t="str">
        <x:v>public/reach/public-release-timeline.csv</x:v>
      </x:c>
    </x:row>
    <x:row r="47">
      <x:c r="A47" s="11" t="str">
        <x:v>PUB-0046</x:v>
      </x:c>
      <x:c r="B47" s="11" t="str">
        <x:v>PUBLIC_RELEASE</x:v>
      </x:c>
      <x:c r="C47" s="11" t="str">
        <x:v>2026-02-21</x:v>
      </x:c>
      <x:c r="D47" s="11" t="str">
        <x:v>Complexity Metric Dashboards for Artificial Consciousness: A Multi-Measure Instrument for Real-Time Cognitive Runtimes</x:v>
      </x:c>
      <x:c r="E47" s="11" t="str">
        <x:v>10.5281/zenodo.18724646</x:v>
      </x:c>
      <x:c r="F47" s="11" t="str">
        <x:v>zenodo</x:v>
      </x:c>
      <x:c r="G47" s="11" t="str">
        <x:v>PUBLIC</x:v>
      </x:c>
      <x:c r="H47" s="11" t="str"/>
      <x:c r="I47" s="11" t="str">
        <x:v>https://zenodo.org/records/18724646</x:v>
      </x:c>
      <x:c r="J47" s="11" t="str"/>
      <x:c r="K47" s="11" t="str">
        <x:v>public/reach/public-release-timeline.csv</x:v>
      </x:c>
    </x:row>
    <x:row r="48">
      <x:c r="A48" s="11" t="str">
        <x:v>PUB-0047</x:v>
      </x:c>
      <x:c r="B48" s="11" t="str">
        <x:v>PUBLIC_RELEASE</x:v>
      </x:c>
      <x:c r="C48" s="11" t="str">
        <x:v>2026-02-21</x:v>
      </x:c>
      <x:c r="D48" s="11" t="str">
        <x:v>Dynamic Phase-Space Signatures and Principal-Component Shifts Across Cognitive Regimes in a Zero-Training Runtime</x:v>
      </x:c>
      <x:c r="E48" s="11" t="str">
        <x:v>10.5281/zenodo.19567850</x:v>
      </x:c>
      <x:c r="F48" s="11" t="str">
        <x:v>zenodo</x:v>
      </x:c>
      <x:c r="G48" s="11" t="str">
        <x:v>PUBLIC</x:v>
      </x:c>
      <x:c r="H48" s="11" t="str"/>
      <x:c r="I48" s="11" t="str">
        <x:v>https://zenodo.org/records/19567850</x:v>
      </x:c>
      <x:c r="J48" s="11" t="str"/>
      <x:c r="K48" s="11" t="str">
        <x:v>public/reach/public-release-timeline.csv</x:v>
      </x:c>
    </x:row>
    <x:row r="49">
      <x:c r="A49" s="11" t="str">
        <x:v>PUB-0048</x:v>
      </x:c>
      <x:c r="B49" s="11" t="str">
        <x:v>PUBLIC_RELEASE</x:v>
      </x:c>
      <x:c r="C49" s="11" t="str">
        <x:v>2026-02-21</x:v>
      </x:c>
      <x:c r="D49" s="11" t="str">
        <x:v>Dynamic Phase-Space Signatures and Principal-Component Shifts Across Cognitive Regimes in a Zero-Training Runtime</x:v>
      </x:c>
      <x:c r="E49" s="11" t="str">
        <x:v>10.5281/zenodo.18723892</x:v>
      </x:c>
      <x:c r="F49" s="11" t="str">
        <x:v>zenodo</x:v>
      </x:c>
      <x:c r="G49" s="11" t="str">
        <x:v>PUBLIC</x:v>
      </x:c>
      <x:c r="H49" s="11" t="str"/>
      <x:c r="I49" s="11" t="str">
        <x:v>https://zenodo.org/records/18723892</x:v>
      </x:c>
      <x:c r="J49" s="11" t="str"/>
      <x:c r="K49" s="11" t="str">
        <x:v>public/reach/public-release-timeline.csv</x:v>
      </x:c>
    </x:row>
    <x:row r="50">
      <x:c r="A50" s="11" t="str">
        <x:v>PUB-0049</x:v>
      </x:c>
      <x:c r="B50" s="11" t="str">
        <x:v>PUBLIC_RELEASE</x:v>
      </x:c>
      <x:c r="C50" s="11" t="str">
        <x:v>2026-02-21</x:v>
      </x:c>
      <x:c r="D50" s="11" t="str">
        <x:v>Emergent Criticality and Avalanche Scaling in Non-Trained Cognitive Firing Patterns</x:v>
      </x:c>
      <x:c r="E50" s="11" t="str">
        <x:v>10.5281/zenodo.19568270</x:v>
      </x:c>
      <x:c r="F50" s="11" t="str">
        <x:v>zenodo</x:v>
      </x:c>
      <x:c r="G50" s="11" t="str">
        <x:v>PUBLIC</x:v>
      </x:c>
      <x:c r="H50" s="11" t="str"/>
      <x:c r="I50" s="11" t="str">
        <x:v>https://zenodo.org/records/19568270</x:v>
      </x:c>
      <x:c r="J50" s="11" t="str"/>
      <x:c r="K50" s="11" t="str">
        <x:v>public/reach/public-release-timeline.csv</x:v>
      </x:c>
    </x:row>
    <x:row r="51">
      <x:c r="A51" s="11" t="str">
        <x:v>PUB-0050</x:v>
      </x:c>
      <x:c r="B51" s="11" t="str">
        <x:v>PUBLIC_RELEASE</x:v>
      </x:c>
      <x:c r="C51" s="11" t="str">
        <x:v>2026-02-21</x:v>
      </x:c>
      <x:c r="D51" s="11" t="str">
        <x:v>Emergent Criticality and Avalanche Scaling in Non-Trained Cognitive Firing Patterns</x:v>
      </x:c>
      <x:c r="E51" s="11" t="str">
        <x:v>10.5281/zenodo.18725612</x:v>
      </x:c>
      <x:c r="F51" s="11" t="str">
        <x:v>zenodo</x:v>
      </x:c>
      <x:c r="G51" s="11" t="str">
        <x:v>PUBLIC</x:v>
      </x:c>
      <x:c r="H51" s="11" t="str"/>
      <x:c r="I51" s="11" t="str">
        <x:v>https://zenodo.org/records/18725612</x:v>
      </x:c>
      <x:c r="J51" s="11" t="str"/>
      <x:c r="K51" s="11" t="str">
        <x:v>public/reach/public-release-timeline.csv</x:v>
      </x:c>
    </x:row>
    <x:row r="52">
      <x:c r="A52" s="11" t="str">
        <x:v>PUB-0051</x:v>
      </x:c>
      <x:c r="B52" s="11" t="str">
        <x:v>PUBLIC_RELEASE</x:v>
      </x:c>
      <x:c r="C52" s="11" t="str">
        <x:v>2026-02-21</x:v>
      </x:c>
      <x:c r="D52" s="11" t="str">
        <x:v>Integration–Segregation Balance in Zero-Training Cognitive Regimes: Total Correlation, O-information, and MIP Structure</x:v>
      </x:c>
      <x:c r="E52" s="11" t="str">
        <x:v>10.5281/zenodo.19569960</x:v>
      </x:c>
      <x:c r="F52" s="11" t="str">
        <x:v>zenodo</x:v>
      </x:c>
      <x:c r="G52" s="11" t="str">
        <x:v>PUBLIC</x:v>
      </x:c>
      <x:c r="H52" s="11" t="str"/>
      <x:c r="I52" s="11" t="str">
        <x:v>https://zenodo.org/records/19569960</x:v>
      </x:c>
      <x:c r="J52" s="11" t="str"/>
      <x:c r="K52" s="11" t="str">
        <x:v>public/reach/public-release-timeline.csv</x:v>
      </x:c>
    </x:row>
    <x:row r="53">
      <x:c r="A53" s="11" t="str">
        <x:v>PUB-0052</x:v>
      </x:c>
      <x:c r="B53" s="11" t="str">
        <x:v>PUBLIC_RELEASE</x:v>
      </x:c>
      <x:c r="C53" s="11" t="str">
        <x:v>2026-02-21</x:v>
      </x:c>
      <x:c r="D53" s="11" t="str">
        <x:v>Integration–Segregation Balance in Zero-Training Cognitive Regimes: Total Correlation, O-information, and MIP Structure</x:v>
      </x:c>
      <x:c r="E53" s="11" t="str">
        <x:v>10.5281/zenodo.18725951</x:v>
      </x:c>
      <x:c r="F53" s="11" t="str">
        <x:v>zenodo</x:v>
      </x:c>
      <x:c r="G53" s="11" t="str">
        <x:v>PUBLIC</x:v>
      </x:c>
      <x:c r="H53" s="11" t="str"/>
      <x:c r="I53" s="11" t="str">
        <x:v>https://zenodo.org/records/18725951</x:v>
      </x:c>
      <x:c r="J53" s="11" t="str"/>
      <x:c r="K53" s="11" t="str">
        <x:v>public/reach/public-release-timeline.csv</x:v>
      </x:c>
    </x:row>
    <x:row r="54">
      <x:c r="A54" s="11" t="str">
        <x:v>PUB-0053</x:v>
      </x:c>
      <x:c r="B54" s="11" t="str">
        <x:v>PUBLIC_RELEASE</x:v>
      </x:c>
      <x:c r="C54" s="11" t="str">
        <x:v>2026-02-21</x:v>
      </x:c>
      <x:c r="D54" s="11" t="str">
        <x:v>Phase Transitions and Metastable Regimes in Real-Time Cognitive Connectomes</x:v>
      </x:c>
      <x:c r="E54" s="11" t="str">
        <x:v>10.5281/zenodo.19576940</x:v>
      </x:c>
      <x:c r="F54" s="11" t="str">
        <x:v>zenodo</x:v>
      </x:c>
      <x:c r="G54" s="11" t="str">
        <x:v>PUBLIC</x:v>
      </x:c>
      <x:c r="H54" s="11" t="str"/>
      <x:c r="I54" s="11" t="str">
        <x:v>https://zenodo.org/records/19576940</x:v>
      </x:c>
      <x:c r="J54" s="11" t="str"/>
      <x:c r="K54" s="11" t="str">
        <x:v>public/reach/public-release-timeline.csv</x:v>
      </x:c>
    </x:row>
    <x:row r="55">
      <x:c r="A55" s="11" t="str">
        <x:v>PUB-0054</x:v>
      </x:c>
      <x:c r="B55" s="11" t="str">
        <x:v>PUBLIC_RELEASE</x:v>
      </x:c>
      <x:c r="C55" s="11" t="str">
        <x:v>2026-02-21</x:v>
      </x:c>
      <x:c r="D55" s="11" t="str">
        <x:v>Phase Transitions and Metastable Regimes in Real-Time Cognitive Connectomes</x:v>
      </x:c>
      <x:c r="E55" s="11" t="str">
        <x:v>10.5281/zenodo.18726328</x:v>
      </x:c>
      <x:c r="F55" s="11" t="str">
        <x:v>zenodo</x:v>
      </x:c>
      <x:c r="G55" s="11" t="str">
        <x:v>PUBLIC</x:v>
      </x:c>
      <x:c r="H55" s="11" t="str"/>
      <x:c r="I55" s="11" t="str">
        <x:v>https://zenodo.org/records/18726328</x:v>
      </x:c>
      <x:c r="J55" s="11" t="str"/>
      <x:c r="K55" s="11" t="str">
        <x:v>public/reach/public-release-timeline.csv</x:v>
      </x:c>
    </x:row>
    <x:row r="56">
      <x:c r="A56" s="11" t="str">
        <x:v>PUB-0055</x:v>
      </x:c>
      <x:c r="B56" s="11" t="str">
        <x:v>PUBLIC_RELEASE</x:v>
      </x:c>
      <x:c r="C56" s="11" t="str">
        <x:v>2026-02-23</x:v>
      </x:c>
      <x:c r="D56" s="11" t="str">
        <x:v>Aura - Embodied VDM</x:v>
      </x:c>
      <x:c r="E56" s="11" t="str">
        <x:v>10.5281/zenodo.18749264</x:v>
      </x:c>
      <x:c r="F56" s="11" t="str">
        <x:v>zenodo</x:v>
      </x:c>
      <x:c r="G56" s="11" t="str">
        <x:v>PUBLIC</x:v>
      </x:c>
      <x:c r="H56" s="11" t="str"/>
      <x:c r="I56" s="11" t="str">
        <x:v>https://zenodo.org/records/18749264</x:v>
      </x:c>
      <x:c r="J56" s="11" t="str"/>
      <x:c r="K56" s="11" t="str">
        <x:v>public/reach/public-release-timeline.csv</x:v>
      </x:c>
    </x:row>
    <x:row r="57">
      <x:c r="A57" s="11" t="str">
        <x:v>PUB-0056</x:v>
      </x:c>
      <x:c r="B57" s="11" t="str">
        <x:v>PUBLIC_RELEASE</x:v>
      </x:c>
      <x:c r="C57" s="11" t="str">
        <x:v>2026-03-06</x:v>
      </x:c>
      <x:c r="D57" s="11" t="str">
        <x:v>VDM Cosmogenesis Runtime (v9)</x:v>
      </x:c>
      <x:c r="E57" s="11" t="str">
        <x:v>10.5281/zenodo.18895523</x:v>
      </x:c>
      <x:c r="F57" s="11" t="str">
        <x:v>zenodo</x:v>
      </x:c>
      <x:c r="G57" s="11" t="str">
        <x:v>PUBLIC</x:v>
      </x:c>
      <x:c r="H57" s="11" t="str"/>
      <x:c r="I57" s="11" t="str">
        <x:v>https://zenodo.org/records/18895523</x:v>
      </x:c>
      <x:c r="J57" s="11" t="str"/>
      <x:c r="K57" s="11" t="str">
        <x:v>public/reach/public-release-timeline.csv</x:v>
      </x:c>
    </x:row>
    <x:row r="58">
      <x:c r="A58" s="11" t="str">
        <x:v>PUB-0057</x:v>
      </x:c>
      <x:c r="B58" s="11" t="str">
        <x:v>PUBLIC_RELEASE</x:v>
      </x:c>
      <x:c r="C58" s="11" t="str">
        <x:v>2026-03-07</x:v>
      </x:c>
      <x:c r="D58" s="11" t="str">
        <x:v>Void Lensing Cross-Correlation Meter v1: Synthetic Mocks Calibration and Mocks-Grid Tuning</x:v>
      </x:c>
      <x:c r="E58" s="11" t="str">
        <x:v>10.5281/zenodo.18897151</x:v>
      </x:c>
      <x:c r="F58" s="11" t="str">
        <x:v>zenodo</x:v>
      </x:c>
      <x:c r="G58" s="11" t="str">
        <x:v>PUBLIC</x:v>
      </x:c>
      <x:c r="H58" s="11" t="str"/>
      <x:c r="I58" s="11" t="str">
        <x:v>https://zenodo.org/records/18897151</x:v>
      </x:c>
      <x:c r="J58" s="11" t="str"/>
      <x:c r="K58" s="11" t="str">
        <x:v>public/reach/public-release-timeline.csv</x:v>
      </x:c>
    </x:row>
    <x:row r="59">
      <x:c r="A59" s="11" t="str">
        <x:v>PUB-0058</x:v>
      </x:c>
      <x:c r="B59" s="11" t="str">
        <x:v>PUBLIC_RELEASE</x:v>
      </x:c>
      <x:c r="C59" s="11" t="str">
        <x:v>2026-03-13</x:v>
      </x:c>
      <x:c r="D59" s="11" t="str">
        <x:v>H000: Primitive Bifurcation As A Minimal Generative Origin For Distinguishability, Hierarchy, And Carrier Emergence</x:v>
      </x:c>
      <x:c r="E59" s="11" t="str">
        <x:v>10.5281/zenodo.19009927</x:v>
      </x:c>
      <x:c r="F59" s="11" t="str">
        <x:v>zenodo</x:v>
      </x:c>
      <x:c r="G59" s="11" t="str">
        <x:v>PUBLIC</x:v>
      </x:c>
      <x:c r="H59" s="11" t="str"/>
      <x:c r="I59" s="11" t="str">
        <x:v>https://zenodo.org/records/19009927</x:v>
      </x:c>
      <x:c r="J59" s="11" t="str"/>
      <x:c r="K59" s="11" t="str">
        <x:v>public/reach/public-release-timeline.csv</x:v>
      </x:c>
    </x:row>
    <x:row r="60">
      <x:c r="A60" s="11" t="str">
        <x:v>PUB-0059</x:v>
      </x:c>
      <x:c r="B60" s="11" t="str">
        <x:v>PUBLIC_RELEASE</x:v>
      </x:c>
      <x:c r="C60" s="11" t="str">
        <x:v>2026-03-14</x:v>
      </x:c>
      <x:c r="D60" s="11" t="str">
        <x:v>Branch Relative Origin Resolution</x:v>
      </x:c>
      <x:c r="E60" s="11" t="str">
        <x:v>10.5281/zenodo.19010844</x:v>
      </x:c>
      <x:c r="F60" s="11" t="str">
        <x:v>zenodo</x:v>
      </x:c>
      <x:c r="G60" s="11" t="str">
        <x:v>PUBLIC</x:v>
      </x:c>
      <x:c r="H60" s="11" t="str"/>
      <x:c r="I60" s="11" t="str">
        <x:v>https://zenodo.org/records/19010844</x:v>
      </x:c>
      <x:c r="J60" s="11" t="str"/>
      <x:c r="K60" s="11" t="str">
        <x:v>public/reach/public-release-timeline.csv</x:v>
      </x:c>
    </x:row>
    <x:row r="61">
      <x:c r="A61" s="11" t="str">
        <x:v>PUB-0060</x:v>
      </x:c>
      <x:c r="B61" s="11" t="str">
        <x:v>PUBLIC_RELEASE</x:v>
      </x:c>
      <x:c r="C61" s="11" t="str">
        <x:v>2026-03-16</x:v>
      </x:c>
      <x:c r="D61" s="11" t="str">
        <x:v>DRAFT Convergent Anomalous Signatures in an Emergent Zero-Trained Cognitive Runtime</x:v>
      </x:c>
      <x:c r="E61" s="11" t="str">
        <x:v>10.5281/zenodo.19043188</x:v>
      </x:c>
      <x:c r="F61" s="11" t="str">
        <x:v>zenodo</x:v>
      </x:c>
      <x:c r="G61" s="11" t="str">
        <x:v>PUBLIC</x:v>
      </x:c>
      <x:c r="H61" s="11" t="str"/>
      <x:c r="I61" s="11" t="str">
        <x:v>https://zenodo.org/records/19043188</x:v>
      </x:c>
      <x:c r="J61" s="11" t="str"/>
      <x:c r="K61" s="11" t="str">
        <x:v>public/reach/public-release-timeline.csv</x:v>
      </x:c>
    </x:row>
    <x:row r="62">
      <x:c r="A62" s="11" t="str">
        <x:v>PUB-0061</x:v>
      </x:c>
      <x:c r="B62" s="11" t="str">
        <x:v>PUBLIC_RELEASE</x:v>
      </x:c>
      <x:c r="C62" s="11" t="str">
        <x:v>2026-03-18</x:v>
      </x:c>
      <x:c r="D62" s="11" t="str">
        <x:v>CF000: Primitive Distinguishability and Orthogonal Articulation</x:v>
      </x:c>
      <x:c r="E62" s="11" t="str">
        <x:v>10.5281/zenodo.19644143</x:v>
      </x:c>
      <x:c r="F62" s="11" t="str">
        <x:v>zenodo</x:v>
      </x:c>
      <x:c r="G62" s="11" t="str">
        <x:v>PUBLIC</x:v>
      </x:c>
      <x:c r="H62" s="11" t="str"/>
      <x:c r="I62" s="11" t="str">
        <x:v>https://zenodo.org/records/19644143</x:v>
      </x:c>
      <x:c r="J62" s="11" t="str"/>
      <x:c r="K62" s="11" t="str">
        <x:v>public/reach/public-release-timeline.csv</x:v>
      </x:c>
    </x:row>
    <x:row r="63">
      <x:c r="A63" s="11" t="str">
        <x:v>PUB-0062</x:v>
      </x:c>
      <x:c r="B63" s="11" t="str">
        <x:v>PUBLIC_RELEASE</x:v>
      </x:c>
      <x:c r="C63" s="11" t="str">
        <x:v>2026-03-18</x:v>
      </x:c>
      <x:c r="D63" s="11" t="str">
        <x:v>CF000: Primitive Distinguishability and Orthogonal Articulation</x:v>
      </x:c>
      <x:c r="E63" s="11" t="str">
        <x:v>10.5281/zenodo.19098778</x:v>
      </x:c>
      <x:c r="F63" s="11" t="str">
        <x:v>zenodo</x:v>
      </x:c>
      <x:c r="G63" s="11" t="str">
        <x:v>PUBLIC</x:v>
      </x:c>
      <x:c r="H63" s="11" t="str"/>
      <x:c r="I63" s="11" t="str">
        <x:v>https://zenodo.org/records/19098778</x:v>
      </x:c>
      <x:c r="J63" s="11" t="str"/>
      <x:c r="K63" s="11" t="str">
        <x:v>public/reach/public-release-timeline.csv</x:v>
      </x:c>
    </x:row>
    <x:row r="64">
      <x:c r="A64" s="11" t="str">
        <x:v>PUB-0063</x:v>
      </x:c>
      <x:c r="B64" s="11" t="str">
        <x:v>PUBLIC_RELEASE</x:v>
      </x:c>
      <x:c r="C64" s="11" t="str">
        <x:v>2026-03-18</x:v>
      </x:c>
      <x:c r="D64" s="11" t="str">
        <x:v>CF01: Complete Formalism - Quantum Geometric Tensor to Metriplectic Brackets</x:v>
      </x:c>
      <x:c r="E64" s="11" t="str">
        <x:v>10.5281/zenodo.19102730</x:v>
      </x:c>
      <x:c r="F64" s="11" t="str">
        <x:v>zenodo</x:v>
      </x:c>
      <x:c r="G64" s="11" t="str">
        <x:v>PUBLIC</x:v>
      </x:c>
      <x:c r="H64" s="11" t="str"/>
      <x:c r="I64" s="11" t="str">
        <x:v>https://zenodo.org/records/19102730</x:v>
      </x:c>
      <x:c r="J64" s="11" t="str"/>
      <x:c r="K64" s="11" t="str">
        <x:v>public/reach/public-release-timeline.csv</x:v>
      </x:c>
    </x:row>
    <x:row r="65">
      <x:c r="A65" s="11" t="str">
        <x:v>PUB-0064</x:v>
      </x:c>
      <x:c r="B65" s="11" t="str">
        <x:v>PUBLIC_RELEASE</x:v>
      </x:c>
      <x:c r="C65" s="11" t="str">
        <x:v>2026-03-18</x:v>
      </x:c>
      <x:c r="D65" s="11" t="str">
        <x:v>Induced Geometry and Emergent Dynamics</x:v>
      </x:c>
      <x:c r="E65" s="11" t="str">
        <x:v>10.5281/zenodo.19099916</x:v>
      </x:c>
      <x:c r="F65" s="11" t="str">
        <x:v>zenodo</x:v>
      </x:c>
      <x:c r="G65" s="11" t="str">
        <x:v>PUBLIC</x:v>
      </x:c>
      <x:c r="H65" s="11" t="str"/>
      <x:c r="I65" s="11" t="str">
        <x:v>https://zenodo.org/records/19099916</x:v>
      </x:c>
      <x:c r="J65" s="11" t="str"/>
      <x:c r="K65" s="11" t="str">
        <x:v>public/reach/public-release-timeline.csv</x:v>
      </x:c>
    </x:row>
    <x:row r="66">
      <x:c r="A66" s="11" t="str">
        <x:v>PUB-0065</x:v>
      </x:c>
      <x:c r="B66" s="11" t="str">
        <x:v>PUBLIC_RELEASE</x:v>
      </x:c>
      <x:c r="C66" s="11" t="str">
        <x:v>2026-03-18</x:v>
      </x:c>
      <x:c r="D66" s="11" t="str">
        <x:v>Primitive Distinguishability and the Origin of Differentiability</x:v>
      </x:c>
      <x:c r="E66" s="11" t="str">
        <x:v>10.5281/zenodo.19097453</x:v>
      </x:c>
      <x:c r="F66" s="11" t="str">
        <x:v>zenodo</x:v>
      </x:c>
      <x:c r="G66" s="11" t="str">
        <x:v>PUBLIC</x:v>
      </x:c>
      <x:c r="H66" s="11" t="str"/>
      <x:c r="I66" s="11" t="str">
        <x:v>https://zenodo.org/records/19097453</x:v>
      </x:c>
      <x:c r="J66" s="11" t="str"/>
      <x:c r="K66" s="11" t="str">
        <x:v>public/reach/public-release-timeline.csv</x:v>
      </x:c>
    </x:row>
    <x:row r="67">
      <x:c r="A67" s="11" t="str">
        <x:v>PUB-0066</x:v>
      </x:c>
      <x:c r="B67" s="11" t="str">
        <x:v>PUBLIC_RELEASE</x:v>
      </x:c>
      <x:c r="C67" s="11" t="str">
        <x:v>2026-03-18</x:v>
      </x:c>
      <x:c r="D67" s="11" t="str">
        <x:v>Primitive Distinguishability and the Origin of Differentiability</x:v>
      </x:c>
      <x:c r="E67" s="11" t="str">
        <x:v>10.5281/zenodo.19097305</x:v>
      </x:c>
      <x:c r="F67" s="11" t="str">
        <x:v>zenodo</x:v>
      </x:c>
      <x:c r="G67" s="11" t="str">
        <x:v>PUBLIC</x:v>
      </x:c>
      <x:c r="H67" s="11" t="str"/>
      <x:c r="I67" s="11" t="str">
        <x:v>https://zenodo.org/records/19097305</x:v>
      </x:c>
      <x:c r="J67" s="11" t="str"/>
      <x:c r="K67" s="11" t="str">
        <x:v>public/reach/public-release-timeline.csv</x:v>
      </x:c>
    </x:row>
    <x:row r="68">
      <x:c r="A68" s="11" t="str">
        <x:v>PUB-0067</x:v>
      </x:c>
      <x:c r="B68" s="11" t="str">
        <x:v>PUBLIC_RELEASE</x:v>
      </x:c>
      <x:c r="C68" s="11" t="str">
        <x:v>2026-03-19</x:v>
      </x:c>
      <x:c r="D68" s="11" t="str">
        <x:v>CF00: Induced Geometry and Emergent Dynamics</x:v>
      </x:c>
      <x:c r="E68" s="11" t="str">
        <x:v>10.5281/zenodo.19124587</x:v>
      </x:c>
      <x:c r="F68" s="11" t="str">
        <x:v>zenodo</x:v>
      </x:c>
      <x:c r="G68" s="11" t="str">
        <x:v>PUBLIC</x:v>
      </x:c>
      <x:c r="H68" s="11" t="str"/>
      <x:c r="I68" s="11" t="str">
        <x:v>https://zenodo.org/records/19124587</x:v>
      </x:c>
      <x:c r="J68" s="11" t="str"/>
      <x:c r="K68" s="11" t="str">
        <x:v>public/reach/public-release-timeline.csv</x:v>
      </x:c>
    </x:row>
    <x:row r="69">
      <x:c r="A69" s="11" t="str">
        <x:v>PUB-0068</x:v>
      </x:c>
      <x:c r="B69" s="11" t="str">
        <x:v>PUBLIC_RELEASE</x:v>
      </x:c>
      <x:c r="C69" s="11" t="str">
        <x:v>2026-03-19</x:v>
      </x:c>
      <x:c r="D69" s="11" t="str">
        <x:v>CF00: Induced Geometry and Emergent Dynamics</x:v>
      </x:c>
      <x:c r="E69" s="11" t="str">
        <x:v>10.5281/zenodo.19120806</x:v>
      </x:c>
      <x:c r="F69" s="11" t="str">
        <x:v>zenodo</x:v>
      </x:c>
      <x:c r="G69" s="11" t="str">
        <x:v>PUBLIC</x:v>
      </x:c>
      <x:c r="H69" s="11" t="str"/>
      <x:c r="I69" s="11" t="str">
        <x:v>https://zenodo.org/records/19120806</x:v>
      </x:c>
      <x:c r="J69" s="11" t="str"/>
      <x:c r="K69" s="11" t="str">
        <x:v>public/reach/public-release-timeline.csv</x:v>
      </x:c>
    </x:row>
    <x:row r="70">
      <x:c r="A70" s="11" t="str">
        <x:v>PUB-0069</x:v>
      </x:c>
      <x:c r="B70" s="11" t="str">
        <x:v>PUBLIC_RELEASE</x:v>
      </x:c>
      <x:c r="C70" s="11" t="str">
        <x:v>2026-03-19</x:v>
      </x:c>
      <x:c r="D70" s="11" t="str">
        <x:v>CF08: Spinor Emergence via Domain-Wall Fermions</x:v>
      </x:c>
      <x:c r="E70" s="11" t="str">
        <x:v>10.5281/zenodo.19124751</x:v>
      </x:c>
      <x:c r="F70" s="11" t="str">
        <x:v>zenodo</x:v>
      </x:c>
      <x:c r="G70" s="11" t="str">
        <x:v>PUBLIC</x:v>
      </x:c>
      <x:c r="H70" s="11" t="str"/>
      <x:c r="I70" s="11" t="str">
        <x:v>https://zenodo.org/records/19124751</x:v>
      </x:c>
      <x:c r="J70" s="11" t="str"/>
      <x:c r="K70" s="11" t="str">
        <x:v>public/reach/public-release-timeline.csv</x:v>
      </x:c>
    </x:row>
    <x:row r="71">
      <x:c r="A71" s="11" t="str">
        <x:v>PUB-0070</x:v>
      </x:c>
      <x:c r="B71" s="11" t="str">
        <x:v>PUBLIC_RELEASE</x:v>
      </x:c>
      <x:c r="C71" s="11" t="str">
        <x:v>2026-03-19</x:v>
      </x:c>
      <x:c r="D71" s="11" t="str">
        <x:v>CF08: Spinor Emergence via Domain-Wall Fermions</x:v>
      </x:c>
      <x:c r="E71" s="11" t="str">
        <x:v>10.5281/zenodo.19122763</x:v>
      </x:c>
      <x:c r="F71" s="11" t="str">
        <x:v>zenodo</x:v>
      </x:c>
      <x:c r="G71" s="11" t="str">
        <x:v>PUBLIC</x:v>
      </x:c>
      <x:c r="H71" s="11" t="str"/>
      <x:c r="I71" s="11" t="str">
        <x:v>https://zenodo.org/records/19122763</x:v>
      </x:c>
      <x:c r="J71" s="11" t="str"/>
      <x:c r="K71" s="11" t="str">
        <x:v>public/reach/public-release-timeline.csv</x:v>
      </x:c>
    </x:row>
    <x:row r="72">
      <x:c r="A72" s="11" t="str">
        <x:v>PUB-0071</x:v>
      </x:c>
      <x:c r="B72" s="11" t="str">
        <x:v>PUBLIC_RELEASE</x:v>
      </x:c>
      <x:c r="C72" s="11" t="str">
        <x:v>2026-03-19</x:v>
      </x:c>
      <x:c r="D72" s="11" t="str">
        <x:v>CF12: Gravity, Black Holes, and Saturation Geometry</x:v>
      </x:c>
      <x:c r="E72" s="11" t="str">
        <x:v>10.5281/zenodo.19103452</x:v>
      </x:c>
      <x:c r="F72" s="11" t="str">
        <x:v>zenodo</x:v>
      </x:c>
      <x:c r="G72" s="11" t="str">
        <x:v>PUBLIC</x:v>
      </x:c>
      <x:c r="H72" s="11" t="str"/>
      <x:c r="I72" s="11" t="str">
        <x:v>https://zenodo.org/records/19103452</x:v>
      </x:c>
      <x:c r="J72" s="11" t="str"/>
      <x:c r="K72" s="11" t="str">
        <x:v>public/reach/public-release-timeline.csv</x:v>
      </x:c>
    </x:row>
    <x:row r="73">
      <x:c r="A73" s="11" t="str">
        <x:v>PUB-0072</x:v>
      </x:c>
      <x:c r="B73" s="11" t="str">
        <x:v>PUBLIC_RELEASE</x:v>
      </x:c>
      <x:c r="C73" s="11" t="str">
        <x:v>2026-03-19</x:v>
      </x:c>
      <x:c r="D73" s="11" t="str">
        <x:v>CF13 - π, Transcendence, Chirality, and the Nielsen-Ninomia Obstruction</x:v>
      </x:c>
      <x:c r="E73" s="11" t="str">
        <x:v>10.5281/zenodo.19124533</x:v>
      </x:c>
      <x:c r="F73" s="11" t="str">
        <x:v>zenodo</x:v>
      </x:c>
      <x:c r="G73" s="11" t="str">
        <x:v>PUBLIC</x:v>
      </x:c>
      <x:c r="H73" s="11" t="str"/>
      <x:c r="I73" s="11" t="str">
        <x:v>https://zenodo.org/records/19124533</x:v>
      </x:c>
      <x:c r="J73" s="11" t="str"/>
      <x:c r="K73" s="11" t="str">
        <x:v>public/reach/public-release-timeline.csv</x:v>
      </x:c>
    </x:row>
    <x:row r="74">
      <x:c r="A74" s="11" t="str">
        <x:v>PUB-0073</x:v>
      </x:c>
      <x:c r="B74" s="11" t="str">
        <x:v>PUBLIC_RELEASE</x:v>
      </x:c>
      <x:c r="C74" s="11" t="str">
        <x:v>2026-03-19</x:v>
      </x:c>
      <x:c r="D74" s="11" t="str">
        <x:v>CF13 - π, Transcendence, Chirality, and the Nielsen-Ninomia Obstruction</x:v>
      </x:c>
      <x:c r="E74" s="11" t="str">
        <x:v>10.5281/zenodo.19121368</x:v>
      </x:c>
      <x:c r="F74" s="11" t="str">
        <x:v>zenodo</x:v>
      </x:c>
      <x:c r="G74" s="11" t="str">
        <x:v>PUBLIC</x:v>
      </x:c>
      <x:c r="H74" s="11" t="str"/>
      <x:c r="I74" s="11" t="str">
        <x:v>https://zenodo.org/records/19121368</x:v>
      </x:c>
      <x:c r="J74" s="11" t="str"/>
      <x:c r="K74" s="11" t="str">
        <x:v>public/reach/public-release-timeline.csv</x:v>
      </x:c>
    </x:row>
    <x:row r="75">
      <x:c r="A75" s="11" t="str">
        <x:v>PUB-0074</x:v>
      </x:c>
      <x:c r="B75" s="11" t="str">
        <x:v>PUBLIC_RELEASE</x:v>
      </x:c>
      <x:c r="C75" s="11" t="str">
        <x:v>2026-03-19</x:v>
      </x:c>
      <x:c r="D75" s="11" t="str">
        <x:v>CF13 - π, Transcendence, Chirality, and the Nielsen-Ninomia Obstruction</x:v>
      </x:c>
      <x:c r="E75" s="11" t="str">
        <x:v>10.5281/zenodo.19121111</x:v>
      </x:c>
      <x:c r="F75" s="11" t="str">
        <x:v>zenodo</x:v>
      </x:c>
      <x:c r="G75" s="11" t="str">
        <x:v>PUBLIC</x:v>
      </x:c>
      <x:c r="H75" s="11" t="str"/>
      <x:c r="I75" s="11" t="str">
        <x:v>https://zenodo.org/records/19121111</x:v>
      </x:c>
      <x:c r="J75" s="11" t="str"/>
      <x:c r="K75" s="11" t="str">
        <x:v>public/reach/public-release-timeline.csv</x:v>
      </x:c>
    </x:row>
    <x:row r="76">
      <x:c r="A76" s="11" t="str">
        <x:v>PUB-0075</x:v>
      </x:c>
      <x:c r="B76" s="11" t="str">
        <x:v>PUBLIC_RELEASE</x:v>
      </x:c>
      <x:c r="C76" s="11" t="str">
        <x:v>2026-03-19</x:v>
      </x:c>
      <x:c r="D76" s="11" t="str">
        <x:v>CF13 - π, Transcendence, Chirality, and the Nielsen-Ninomia Obstruction</x:v>
      </x:c>
      <x:c r="E76" s="11" t="str">
        <x:v>10.5281/zenodo.19120322</x:v>
      </x:c>
      <x:c r="F76" s="11" t="str">
        <x:v>zenodo</x:v>
      </x:c>
      <x:c r="G76" s="11" t="str">
        <x:v>PUBLIC</x:v>
      </x:c>
      <x:c r="H76" s="11" t="str"/>
      <x:c r="I76" s="11" t="str">
        <x:v>https://zenodo.org/records/19120322</x:v>
      </x:c>
      <x:c r="J76" s="11" t="str"/>
      <x:c r="K76" s="11" t="str">
        <x:v>public/reach/public-release-timeline.csv</x:v>
      </x:c>
    </x:row>
    <x:row r="77">
      <x:c r="A77" s="11" t="str">
        <x:v>PUB-0076</x:v>
      </x:c>
      <x:c r="B77" s="11" t="str">
        <x:v>PUBLIC_RELEASE</x:v>
      </x:c>
      <x:c r="C77" s="11" t="str">
        <x:v>2026-03-19</x:v>
      </x:c>
      <x:c r="D77" s="11" t="str">
        <x:v>Universal Axiom of Primitive Bifurcation and Orthogonal Articulation</x:v>
      </x:c>
      <x:c r="E77" s="11" t="str">
        <x:v>10.5281/zenodo.19129390</x:v>
      </x:c>
      <x:c r="F77" s="11" t="str">
        <x:v>zenodo</x:v>
      </x:c>
      <x:c r="G77" s="11" t="str">
        <x:v>PUBLIC</x:v>
      </x:c>
      <x:c r="H77" s="11" t="str"/>
      <x:c r="I77" s="11" t="str">
        <x:v>https://zenodo.org/records/19129390</x:v>
      </x:c>
      <x:c r="J77" s="11" t="str"/>
      <x:c r="K77" s="11" t="str">
        <x:v>public/reach/public-release-timeline.csv</x:v>
      </x:c>
    </x:row>
    <x:row r="78">
      <x:c r="A78" s="11" t="str">
        <x:v>PUB-0077</x:v>
      </x:c>
      <x:c r="B78" s="11" t="str">
        <x:v>PUBLIC_RELEASE</x:v>
      </x:c>
      <x:c r="C78" s="11" t="str">
        <x:v>2026-03-20</x:v>
      </x:c>
      <x:c r="D78" s="11" t="str">
        <x:v>CF14: Principle of Stationary Action as Temporal Effective Invariant</x:v>
      </x:c>
      <x:c r="E78" s="11" t="str">
        <x:v>10.5281/zenodo.19133897</x:v>
      </x:c>
      <x:c r="F78" s="11" t="str">
        <x:v>zenodo</x:v>
      </x:c>
      <x:c r="G78" s="11" t="str">
        <x:v>PUBLIC</x:v>
      </x:c>
      <x:c r="H78" s="11" t="str"/>
      <x:c r="I78" s="11" t="str">
        <x:v>https://zenodo.org/records/19133897</x:v>
      </x:c>
      <x:c r="J78" s="11" t="str"/>
      <x:c r="K78" s="11" t="str">
        <x:v>public/reach/public-release-timeline.csv</x:v>
      </x:c>
    </x:row>
    <x:row r="79">
      <x:c r="A79" s="11" t="str">
        <x:v>PUB-0078</x:v>
      </x:c>
      <x:c r="B79" s="11" t="str">
        <x:v>PUBLIC_RELEASE</x:v>
      </x:c>
      <x:c r="C79" s="11" t="str">
        <x:v>2026-03-20</x:v>
      </x:c>
      <x:c r="D79" s="11" t="str">
        <x:v>CF15: Noether's Theorem as Invariant Articulation Cost</x:v>
      </x:c>
      <x:c r="E79" s="11" t="str">
        <x:v>10.5281/zenodo.19139375</x:v>
      </x:c>
      <x:c r="F79" s="11" t="str">
        <x:v>zenodo</x:v>
      </x:c>
      <x:c r="G79" s="11" t="str">
        <x:v>PUBLIC</x:v>
      </x:c>
      <x:c r="H79" s="11" t="str"/>
      <x:c r="I79" s="11" t="str">
        <x:v>https://zenodo.org/records/19139375</x:v>
      </x:c>
      <x:c r="J79" s="11" t="str"/>
      <x:c r="K79" s="11" t="str">
        <x:v>public/reach/public-release-timeline.csv</x:v>
      </x:c>
    </x:row>
    <x:row r="80">
      <x:c r="A80" s="11" t="str">
        <x:v>PUB-0079</x:v>
      </x:c>
      <x:c r="B80" s="11" t="str">
        <x:v>PUBLIC_RELEASE</x:v>
      </x:c>
      <x:c r="C80" s="11" t="str">
        <x:v>2026-03-20</x:v>
      </x:c>
      <x:c r="D80" s="11" t="str">
        <x:v>Universal Axiom of Primitive Bifurcation and Orthogonal Articulation</x:v>
      </x:c>
      <x:c r="E80" s="11" t="str">
        <x:v>10.5281/zenodo.19130313</x:v>
      </x:c>
      <x:c r="F80" s="11" t="str">
        <x:v>zenodo</x:v>
      </x:c>
      <x:c r="G80" s="11" t="str">
        <x:v>PUBLIC</x:v>
      </x:c>
      <x:c r="H80" s="11" t="str"/>
      <x:c r="I80" s="11" t="str">
        <x:v>https://zenodo.org/records/19130313</x:v>
      </x:c>
      <x:c r="J80" s="11" t="str"/>
      <x:c r="K80" s="11" t="str">
        <x:v>public/reach/public-release-timeline.csv</x:v>
      </x:c>
    </x:row>
    <x:row r="81">
      <x:c r="A81" s="11" t="str">
        <x:v>PUB-0080</x:v>
      </x:c>
      <x:c r="B81" s="11" t="str">
        <x:v>PUBLIC_RELEASE</x:v>
      </x:c>
      <x:c r="C81" s="11" t="str">
        <x:v>2026-03-20</x:v>
      </x:c>
      <x:c r="D81" s="11" t="str">
        <x:v>Universal Axiom of Primitive Bifurcation and Orthogonal Articulation</x:v>
      </x:c>
      <x:c r="E81" s="11" t="str">
        <x:v>10.5281/zenodo.19130228</x:v>
      </x:c>
      <x:c r="F81" s="11" t="str">
        <x:v>zenodo</x:v>
      </x:c>
      <x:c r="G81" s="11" t="str">
        <x:v>PUBLIC</x:v>
      </x:c>
      <x:c r="H81" s="11" t="str"/>
      <x:c r="I81" s="11" t="str">
        <x:v>https://zenodo.org/records/19130228</x:v>
      </x:c>
      <x:c r="J81" s="11" t="str"/>
      <x:c r="K81" s="11" t="str">
        <x:v>public/reach/public-release-timeline.csv</x:v>
      </x:c>
    </x:row>
    <x:row r="82">
      <x:c r="A82" s="11" t="str">
        <x:v>PUB-0081</x:v>
      </x:c>
      <x:c r="B82" s="11" t="str">
        <x:v>PUBLIC_RELEASE</x:v>
      </x:c>
      <x:c r="C82" s="11" t="str">
        <x:v>2026-03-20</x:v>
      </x:c>
      <x:c r="D82" s="11" t="str">
        <x:v>Universal Axiom of Primitive Bifurcation and Orthogonal Articulation</x:v>
      </x:c>
      <x:c r="E82" s="11" t="str">
        <x:v>10.5281/zenodo.19128685</x:v>
      </x:c>
      <x:c r="F82" s="11" t="str">
        <x:v>zenodo</x:v>
      </x:c>
      <x:c r="G82" s="11" t="str">
        <x:v>PUBLIC</x:v>
      </x:c>
      <x:c r="H82" s="11" t="str"/>
      <x:c r="I82" s="11" t="str">
        <x:v>https://zenodo.org/records/19128685</x:v>
      </x:c>
      <x:c r="J82" s="11" t="str"/>
      <x:c r="K82" s="11" t="str">
        <x:v>public/reach/public-release-timeline.csv</x:v>
      </x:c>
    </x:row>
    <x:row r="83">
      <x:c r="A83" s="11" t="str">
        <x:v>PUB-0082</x:v>
      </x:c>
      <x:c r="B83" s="11" t="str">
        <x:v>PUBLIC_RELEASE</x:v>
      </x:c>
      <x:c r="C83" s="11" t="str">
        <x:v>2026-03-21</x:v>
      </x:c>
      <x:c r="D83" s="11" t="str">
        <x:v>CF16: Electroweak Fiber Splitting, Chiral Weak Coupling, Neutral Gauge Mixing, and Broken Gauge-Scalar Structure</x:v>
      </x:c>
      <x:c r="E83" s="11" t="str">
        <x:v>10.5281/zenodo.19153908</x:v>
      </x:c>
      <x:c r="F83" s="11" t="str">
        <x:v>zenodo</x:v>
      </x:c>
      <x:c r="G83" s="11" t="str">
        <x:v>PUBLIC</x:v>
      </x:c>
      <x:c r="H83" s="11" t="str"/>
      <x:c r="I83" s="11" t="str">
        <x:v>https://zenodo.org/records/19153908</x:v>
      </x:c>
      <x:c r="J83" s="11" t="str"/>
      <x:c r="K83" s="11" t="str">
        <x:v>public/reach/public-release-timeline.csv</x:v>
      </x:c>
    </x:row>
    <x:row r="84">
      <x:c r="A84" s="11" t="str">
        <x:v>PUB-0083</x:v>
      </x:c>
      <x:c r="B84" s="11" t="str">
        <x:v>PUBLIC_RELEASE</x:v>
      </x:c>
      <x:c r="C84" s="11" t="str">
        <x:v>2026-03-21</x:v>
      </x:c>
      <x:c r="D84" s="11" t="str">
        <x:v>CF17: Non-Abelian Saturation, Flux-Tube Formation, Quantitative Confinement, String Breaking, and Deconfinement</x:v>
      </x:c>
      <x:c r="E84" s="11" t="str">
        <x:v>10.5281/zenodo.19154343</x:v>
      </x:c>
      <x:c r="F84" s="11" t="str">
        <x:v>zenodo</x:v>
      </x:c>
      <x:c r="G84" s="11" t="str">
        <x:v>PUBLIC</x:v>
      </x:c>
      <x:c r="H84" s="11" t="str"/>
      <x:c r="I84" s="11" t="str">
        <x:v>https://zenodo.org/records/19154343</x:v>
      </x:c>
      <x:c r="J84" s="11" t="str"/>
      <x:c r="K84" s="11" t="str">
        <x:v>public/reach/public-release-timeline.csv</x:v>
      </x:c>
    </x:row>
    <x:row r="85">
      <x:c r="A85" s="11" t="str">
        <x:v>PUB-0084</x:v>
      </x:c>
      <x:c r="B85" s="11" t="str">
        <x:v>PUBLIC_RELEASE</x:v>
      </x:c>
      <x:c r="C85" s="11" t="str">
        <x:v>2026-03-21</x:v>
      </x:c>
      <x:c r="D85" s="11" t="str">
        <x:v>CF18: Scale Re-Articulation, Effective Action, Hidden-Return Corrections, Running Couplings, Renormalization, and Corrected Symmetry Structure</x:v>
      </x:c>
      <x:c r="E85" s="11" t="str">
        <x:v>10.5281/zenodo.19154453</x:v>
      </x:c>
      <x:c r="F85" s="11" t="str">
        <x:v>zenodo</x:v>
      </x:c>
      <x:c r="G85" s="11" t="str">
        <x:v>PUBLIC</x:v>
      </x:c>
      <x:c r="H85" s="11" t="str"/>
      <x:c r="I85" s="11" t="str">
        <x:v>https://zenodo.org/records/19154453</x:v>
      </x:c>
      <x:c r="J85" s="11" t="str"/>
      <x:c r="K85" s="11" t="str">
        <x:v>public/reach/public-release-timeline.csv</x:v>
      </x:c>
    </x:row>
    <x:row r="86">
      <x:c r="A86" s="11" t="str">
        <x:v>PUB-0085</x:v>
      </x:c>
      <x:c r="B86" s="11" t="str">
        <x:v>PUBLIC_RELEASE</x:v>
      </x:c>
      <x:c r="C86" s="11" t="str">
        <x:v>2026-03-22</x:v>
      </x:c>
      <x:c r="D86" s="11" t="str">
        <x:v>CF06: Information Geometry Foundations — Fisher and Ruppeiner Metrics for the M-Limb</x:v>
      </x:c>
      <x:c r="E86" s="11" t="str">
        <x:v>10.5281/zenodo.19164028</x:v>
      </x:c>
      <x:c r="F86" s="11" t="str">
        <x:v>zenodo</x:v>
      </x:c>
      <x:c r="G86" s="11" t="str">
        <x:v>PUBLIC</x:v>
      </x:c>
      <x:c r="H86" s="11" t="str"/>
      <x:c r="I86" s="11" t="str">
        <x:v>https://zenodo.org/records/19164028</x:v>
      </x:c>
      <x:c r="J86" s="11" t="str"/>
      <x:c r="K86" s="11" t="str">
        <x:v>public/reach/public-release-timeline.csv</x:v>
      </x:c>
    </x:row>
    <x:row r="87">
      <x:c r="A87" s="11" t="str">
        <x:v>PUB-0086</x:v>
      </x:c>
      <x:c r="B87" s="11" t="str">
        <x:v>PUBLIC_RELEASE</x:v>
      </x:c>
      <x:c r="C87" s="11" t="str">
        <x:v>2026-03-22</x:v>
      </x:c>
      <x:c r="D87" s="11" t="str">
        <x:v>CF07: Measurement Theory Foundations - Decoherence and Born Rule Emergence</x:v>
      </x:c>
      <x:c r="E87" s="11" t="str">
        <x:v>10.5281/zenodo.19163944</x:v>
      </x:c>
      <x:c r="F87" s="11" t="str">
        <x:v>zenodo</x:v>
      </x:c>
      <x:c r="G87" s="11" t="str">
        <x:v>PUBLIC</x:v>
      </x:c>
      <x:c r="H87" s="11" t="str"/>
      <x:c r="I87" s="11" t="str">
        <x:v>https://zenodo.org/records/19163944</x:v>
      </x:c>
      <x:c r="J87" s="11" t="str"/>
      <x:c r="K87" s="11" t="str">
        <x:v>public/reach/public-release-timeline.csv</x:v>
      </x:c>
    </x:row>
    <x:row r="88">
      <x:c r="A88" s="11" t="str">
        <x:v>PUB-0087</x:v>
      </x:c>
      <x:c r="B88" s="11" t="str">
        <x:v>PUBLIC_RELEASE</x:v>
      </x:c>
      <x:c r="C88" s="11" t="str">
        <x:v>2026-03-22</x:v>
      </x:c>
      <x:c r="D88" s="11" t="str">
        <x:v>CF08: Spinor Emergence via Domain-Wall Fermions (Nielsen-Ninomiya Defense)</x:v>
      </x:c>
      <x:c r="E88" s="11" t="str">
        <x:v>10.5281/zenodo.19163918</x:v>
      </x:c>
      <x:c r="F88" s="11" t="str">
        <x:v>zenodo</x:v>
      </x:c>
      <x:c r="G88" s="11" t="str">
        <x:v>PUBLIC</x:v>
      </x:c>
      <x:c r="H88" s="11" t="str"/>
      <x:c r="I88" s="11" t="str">
        <x:v>https://zenodo.org/records/19163918</x:v>
      </x:c>
      <x:c r="J88" s="11" t="str"/>
      <x:c r="K88" s="11" t="str">
        <x:v>public/reach/public-release-timeline.csv</x:v>
      </x:c>
    </x:row>
    <x:row r="89">
      <x:c r="A89" s="11" t="str">
        <x:v>PUB-0088</x:v>
      </x:c>
      <x:c r="B89" s="11" t="str">
        <x:v>PUBLIC_RELEASE</x:v>
      </x:c>
      <x:c r="C89" s="11" t="str">
        <x:v>2026-03-22</x:v>
      </x:c>
      <x:c r="D89" s="11" t="str">
        <x:v>CF09: Gauge Field Emergence via Berry Connection (Weinberg-Witten Defense)</x:v>
      </x:c>
      <x:c r="E89" s="11" t="str">
        <x:v>10.5281/zenodo.19163873</x:v>
      </x:c>
      <x:c r="F89" s="11" t="str">
        <x:v>zenodo</x:v>
      </x:c>
      <x:c r="G89" s="11" t="str">
        <x:v>PUBLIC</x:v>
      </x:c>
      <x:c r="H89" s="11" t="str"/>
      <x:c r="I89" s="11" t="str">
        <x:v>https://zenodo.org/records/19163873</x:v>
      </x:c>
      <x:c r="J89" s="11" t="str"/>
      <x:c r="K89" s="11" t="str">
        <x:v>public/reach/public-release-timeline.csv</x:v>
      </x:c>
    </x:row>
    <x:row r="90">
      <x:c r="A90" s="11" t="str">
        <x:v>PUB-0089</x:v>
      </x:c>
      <x:c r="B90" s="11" t="str">
        <x:v>PUBLIC_RELEASE</x:v>
      </x:c>
      <x:c r="C90" s="11" t="str">
        <x:v>2026-03-22</x:v>
      </x:c>
      <x:c r="D90" s="11" t="str">
        <x:v>CF10: VDM Lattice Hydrodynamics, Continuum Limit, and Regularity Program</x:v>
      </x:c>
      <x:c r="E90" s="11" t="str">
        <x:v>10.5281/zenodo.19806286</x:v>
      </x:c>
      <x:c r="F90" s="11" t="str">
        <x:v>zenodo</x:v>
      </x:c>
      <x:c r="G90" s="11" t="str">
        <x:v>PUBLIC</x:v>
      </x:c>
      <x:c r="H90" s="11" t="str"/>
      <x:c r="I90" s="11" t="str">
        <x:v>https://zenodo.org/records/19806286</x:v>
      </x:c>
      <x:c r="J90" s="11" t="str"/>
      <x:c r="K90" s="11" t="str">
        <x:v>public/reach/public-release-timeline.csv</x:v>
      </x:c>
    </x:row>
    <x:row r="91">
      <x:c r="A91" s="11" t="str">
        <x:v>PUB-0090</x:v>
      </x:c>
      <x:c r="B91" s="11" t="str">
        <x:v>PUBLIC_RELEASE</x:v>
      </x:c>
      <x:c r="C91" s="11" t="str">
        <x:v>2026-03-22</x:v>
      </x:c>
      <x:c r="D91" s="11" t="str">
        <x:v>CF10: VDM Lattice Hydrodynamics, Continuum Limit, and Regularity Program</x:v>
      </x:c>
      <x:c r="E91" s="11" t="str">
        <x:v>10.5281/zenodo.19804479</x:v>
      </x:c>
      <x:c r="F91" s="11" t="str">
        <x:v>zenodo</x:v>
      </x:c>
      <x:c r="G91" s="11" t="str">
        <x:v>PUBLIC</x:v>
      </x:c>
      <x:c r="H91" s="11" t="str"/>
      <x:c r="I91" s="11" t="str">
        <x:v>https://zenodo.org/records/19804479</x:v>
      </x:c>
      <x:c r="J91" s="11" t="str"/>
      <x:c r="K91" s="11" t="str">
        <x:v>public/reach/public-release-timeline.csv</x:v>
      </x:c>
    </x:row>
    <x:row r="92">
      <x:c r="A92" s="11" t="str">
        <x:v>PUB-0091</x:v>
      </x:c>
      <x:c r="B92" s="11" t="str">
        <x:v>PUBLIC_RELEASE</x:v>
      </x:c>
      <x:c r="C92" s="11" t="str">
        <x:v>2026-03-22</x:v>
      </x:c>
      <x:c r="D92" s="11" t="str">
        <x:v>CF10: VDM Lattice Hydrodynamics, Continuum Limit, and Regularity Program</x:v>
      </x:c>
      <x:c r="E92" s="11" t="str">
        <x:v>10.5281/zenodo.19163509</x:v>
      </x:c>
      <x:c r="F92" s="11" t="str">
        <x:v>zenodo</x:v>
      </x:c>
      <x:c r="G92" s="11" t="str">
        <x:v>PUBLIC</x:v>
      </x:c>
      <x:c r="H92" s="11" t="str"/>
      <x:c r="I92" s="11" t="str">
        <x:v>https://zenodo.org/records/19163509</x:v>
      </x:c>
      <x:c r="J92" s="11" t="str"/>
      <x:c r="K92" s="11" t="str">
        <x:v>public/reach/public-release-timeline.csv</x:v>
      </x:c>
    </x:row>
    <x:row r="93">
      <x:c r="A93" s="11" t="str">
        <x:v>PUB-0092</x:v>
      </x:c>
      <x:c r="B93" s="11" t="str">
        <x:v>PUBLIC_RELEASE</x:v>
      </x:c>
      <x:c r="C93" s="11" t="str">
        <x:v>2026-03-22</x:v>
      </x:c>
      <x:c r="D93" s="11" t="str">
        <x:v>CF11: Dark Sector Emergence from Metriplectic Dynamics</x:v>
      </x:c>
      <x:c r="E93" s="11" t="str">
        <x:v>10.5281/zenodo.19163437</x:v>
      </x:c>
      <x:c r="F93" s="11" t="str">
        <x:v>zenodo</x:v>
      </x:c>
      <x:c r="G93" s="11" t="str">
        <x:v>PUBLIC</x:v>
      </x:c>
      <x:c r="H93" s="11" t="str"/>
      <x:c r="I93" s="11" t="str">
        <x:v>https://zenodo.org/records/19163437</x:v>
      </x:c>
      <x:c r="J93" s="11" t="str"/>
      <x:c r="K93" s="11" t="str">
        <x:v>public/reach/public-release-timeline.csv</x:v>
      </x:c>
    </x:row>
    <x:row r="94">
      <x:c r="A94" s="11" t="str">
        <x:v>PUB-0093</x:v>
      </x:c>
      <x:c r="B94" s="11" t="str">
        <x:v>PUBLIC_RELEASE</x:v>
      </x:c>
      <x:c r="C94" s="11" t="str">
        <x:v>2026-03-22</x:v>
      </x:c>
      <x:c r="D94" s="11" t="str">
        <x:v>CF12: Derived Gravity, Black Holes, and Saturation Geometry</x:v>
      </x:c>
      <x:c r="E94" s="11" t="str">
        <x:v>10.5281/zenodo.19163352</x:v>
      </x:c>
      <x:c r="F94" s="11" t="str">
        <x:v>zenodo</x:v>
      </x:c>
      <x:c r="G94" s="11" t="str">
        <x:v>PUBLIC</x:v>
      </x:c>
      <x:c r="H94" s="11" t="str"/>
      <x:c r="I94" s="11" t="str">
        <x:v>https://zenodo.org/records/19163352</x:v>
      </x:c>
      <x:c r="J94" s="11" t="str"/>
      <x:c r="K94" s="11" t="str">
        <x:v>public/reach/public-release-timeline.csv</x:v>
      </x:c>
    </x:row>
    <x:row r="95">
      <x:c r="A95" s="11" t="str">
        <x:v>PUB-0094</x:v>
      </x:c>
      <x:c r="B95" s="11" t="str">
        <x:v>PUBLIC_RELEASE</x:v>
      </x:c>
      <x:c r="C95" s="11" t="str">
        <x:v>2026-03-22</x:v>
      </x:c>
      <x:c r="D95" s="11" t="str">
        <x:v>CF13 - π, Transcendence, Chirality, and the Nielsen-Ninomia Obstruction</x:v>
      </x:c>
      <x:c r="E95" s="11" t="str">
        <x:v>10.5281/zenodo.19163245</x:v>
      </x:c>
      <x:c r="F95" s="11" t="str">
        <x:v>zenodo</x:v>
      </x:c>
      <x:c r="G95" s="11" t="str">
        <x:v>PUBLIC</x:v>
      </x:c>
      <x:c r="H95" s="11" t="str"/>
      <x:c r="I95" s="11" t="str">
        <x:v>https://zenodo.org/records/19163245</x:v>
      </x:c>
      <x:c r="J95" s="11" t="str"/>
      <x:c r="K95" s="11" t="str">
        <x:v>public/reach/public-release-timeline.csv</x:v>
      </x:c>
    </x:row>
    <x:row r="96">
      <x:c r="A96" s="11" t="str">
        <x:v>PUB-0095</x:v>
      </x:c>
      <x:c r="B96" s="11" t="str">
        <x:v>PUBLIC_RELEASE</x:v>
      </x:c>
      <x:c r="C96" s="11" t="str">
        <x:v>2026-03-22</x:v>
      </x:c>
      <x:c r="D96" s="11" t="str">
        <x:v>CF14: Principle of Stationary Action as Temporal Effective Invariant</x:v>
      </x:c>
      <x:c r="E96" s="11" t="str">
        <x:v>10.5281/zenodo.19163200</x:v>
      </x:c>
      <x:c r="F96" s="11" t="str">
        <x:v>zenodo</x:v>
      </x:c>
      <x:c r="G96" s="11" t="str">
        <x:v>PUBLIC</x:v>
      </x:c>
      <x:c r="H96" s="11" t="str"/>
      <x:c r="I96" s="11" t="str">
        <x:v>https://zenodo.org/records/19163200</x:v>
      </x:c>
      <x:c r="J96" s="11" t="str"/>
      <x:c r="K96" s="11" t="str">
        <x:v>public/reach/public-release-timeline.csv</x:v>
      </x:c>
    </x:row>
    <x:row r="97">
      <x:c r="A97" s="11" t="str">
        <x:v>PUB-0096</x:v>
      </x:c>
      <x:c r="B97" s="11" t="str">
        <x:v>PUBLIC_RELEASE</x:v>
      </x:c>
      <x:c r="C97" s="11" t="str">
        <x:v>2026-03-22</x:v>
      </x:c>
      <x:c r="D97" s="11" t="str">
        <x:v>CF15: Noether's Theorem as Invariant Articulation Cost</x:v>
      </x:c>
      <x:c r="E97" s="11" t="str">
        <x:v>10.5281/zenodo.19163157</x:v>
      </x:c>
      <x:c r="F97" s="11" t="str">
        <x:v>zenodo</x:v>
      </x:c>
      <x:c r="G97" s="11" t="str">
        <x:v>PUBLIC</x:v>
      </x:c>
      <x:c r="H97" s="11" t="str"/>
      <x:c r="I97" s="11" t="str">
        <x:v>https://zenodo.org/records/19163157</x:v>
      </x:c>
      <x:c r="J97" s="11" t="str"/>
      <x:c r="K97" s="11" t="str">
        <x:v>public/reach/public-release-timeline.csv</x:v>
      </x:c>
    </x:row>
    <x:row r="98">
      <x:c r="A98" s="11" t="str">
        <x:v>PUB-0097</x:v>
      </x:c>
      <x:c r="B98" s="11" t="str">
        <x:v>PUBLIC_RELEASE</x:v>
      </x:c>
      <x:c r="C98" s="11" t="str">
        <x:v>2026-03-22</x:v>
      </x:c>
      <x:c r="D98" s="11" t="str">
        <x:v>CF16: Electroweak Fiber Splitting, Chiral Weak Coupling, Neutral Gauge Mixing, and Broken Gauge-Scalar Structure</x:v>
      </x:c>
      <x:c r="E98" s="11" t="str">
        <x:v>10.5281/zenodo.19163139</x:v>
      </x:c>
      <x:c r="F98" s="11" t="str">
        <x:v>zenodo</x:v>
      </x:c>
      <x:c r="G98" s="11" t="str">
        <x:v>PUBLIC</x:v>
      </x:c>
      <x:c r="H98" s="11" t="str"/>
      <x:c r="I98" s="11" t="str">
        <x:v>https://zenodo.org/records/19163139</x:v>
      </x:c>
      <x:c r="J98" s="11" t="str"/>
      <x:c r="K98" s="11" t="str">
        <x:v>public/reach/public-release-timeline.csv</x:v>
      </x:c>
    </x:row>
    <x:row r="99">
      <x:c r="A99" s="11" t="str">
        <x:v>PUB-0098</x:v>
      </x:c>
      <x:c r="B99" s="11" t="str">
        <x:v>PUBLIC_RELEASE</x:v>
      </x:c>
      <x:c r="C99" s="11" t="str">
        <x:v>2026-03-22</x:v>
      </x:c>
      <x:c r="D99" s="11" t="str">
        <x:v>CF17: Non-Abelian Saturation, Flux-Tube Formation, Quantitative Confinement, String Breaking, and Deconfinement</x:v>
      </x:c>
      <x:c r="E99" s="11" t="str">
        <x:v>10.5281/zenodo.19163117</x:v>
      </x:c>
      <x:c r="F99" s="11" t="str">
        <x:v>zenodo</x:v>
      </x:c>
      <x:c r="G99" s="11" t="str">
        <x:v>PUBLIC</x:v>
      </x:c>
      <x:c r="H99" s="11" t="str"/>
      <x:c r="I99" s="11" t="str">
        <x:v>https://zenodo.org/records/19163117</x:v>
      </x:c>
      <x:c r="J99" s="11" t="str"/>
      <x:c r="K99" s="11" t="str">
        <x:v>public/reach/public-release-timeline.csv</x:v>
      </x:c>
    </x:row>
    <x:row r="100">
      <x:c r="A100" s="11" t="str">
        <x:v>PUB-0099</x:v>
      </x:c>
      <x:c r="B100" s="11" t="str">
        <x:v>PUBLIC_RELEASE</x:v>
      </x:c>
      <x:c r="C100" s="11" t="str">
        <x:v>2026-03-22</x:v>
      </x:c>
      <x:c r="D100" s="11" t="str">
        <x:v>CF18: Scale Re-Articulation, Effective Action, Hidden-Return Corrections, Running Couplings, Renormalization, and Corrected Symmetry Structure</x:v>
      </x:c>
      <x:c r="E100" s="11" t="str">
        <x:v>10.5281/zenodo.19163003</x:v>
      </x:c>
      <x:c r="F100" s="11" t="str">
        <x:v>zenodo</x:v>
      </x:c>
      <x:c r="G100" s="11" t="str">
        <x:v>PUBLIC</x:v>
      </x:c>
      <x:c r="H100" s="11" t="str"/>
      <x:c r="I100" s="11" t="str">
        <x:v>https://zenodo.org/records/19163003</x:v>
      </x:c>
      <x:c r="J100" s="11" t="str"/>
      <x:c r="K100" s="11" t="str">
        <x:v>public/reach/public-release-timeline.csv</x:v>
      </x:c>
    </x:row>
    <x:row r="101">
      <x:c r="A101" s="11" t="str">
        <x:v>PUB-0100</x:v>
      </x:c>
      <x:c r="B101" s="11" t="str">
        <x:v>PUBLIC_RELEASE</x:v>
      </x:c>
      <x:c r="C101" s="11" t="str">
        <x:v>2026-03-22</x:v>
      </x:c>
      <x:c r="D101" s="11" t="str">
        <x:v>Universal Axiom of Primitive Bifurcation and Orthogonal Articulation</x:v>
      </x:c>
      <x:c r="E101" s="11" t="str">
        <x:v>10.5281/zenodo.19158339</x:v>
      </x:c>
      <x:c r="F101" s="11" t="str">
        <x:v>zenodo</x:v>
      </x:c>
      <x:c r="G101" s="11" t="str">
        <x:v>PUBLIC</x:v>
      </x:c>
      <x:c r="H101" s="11" t="str"/>
      <x:c r="I101" s="11" t="str">
        <x:v>https://zenodo.org/records/19158339</x:v>
      </x:c>
      <x:c r="J101" s="11" t="str"/>
      <x:c r="K101" s="11" t="str">
        <x:v>public/reach/public-release-timeline.csv</x:v>
      </x:c>
    </x:row>
    <x:row r="102">
      <x:c r="A102" s="11" t="str">
        <x:v>PUB-0101</x:v>
      </x:c>
      <x:c r="B102" s="11" t="str">
        <x:v>PUBLIC_RELEASE</x:v>
      </x:c>
      <x:c r="C102" s="11" t="str">
        <x:v>2026-03-22</x:v>
      </x:c>
      <x:c r="D102" s="11" t="str">
        <x:v>Void Dynamics Model Formula Catalogue</x:v>
      </x:c>
      <x:c r="E102" s="11" t="str">
        <x:v>10.5281/zenodo.19158075</x:v>
      </x:c>
      <x:c r="F102" s="11" t="str">
        <x:v>zenodo</x:v>
      </x:c>
      <x:c r="G102" s="11" t="str">
        <x:v>PUBLIC</x:v>
      </x:c>
      <x:c r="H102" s="11" t="str"/>
      <x:c r="I102" s="11" t="str">
        <x:v>https://zenodo.org/records/19158075</x:v>
      </x:c>
      <x:c r="J102" s="11" t="str"/>
      <x:c r="K102" s="11" t="str">
        <x:v>public/reach/public-release-timeline.csv</x:v>
      </x:c>
    </x:row>
    <x:row r="103">
      <x:c r="A103" s="11" t="str">
        <x:v>PUB-0102</x:v>
      </x:c>
      <x:c r="B103" s="11" t="str">
        <x:v>PUBLIC_RELEASE</x:v>
      </x:c>
      <x:c r="C103" s="11" t="str">
        <x:v>2026-03-24</x:v>
      </x:c>
      <x:c r="D103" s="11" t="str">
        <x:v>Farey Remainder Recursion and Orthogonal Re-Articulation: An Exact Infinity-Resolution Theorem</x:v>
      </x:c>
      <x:c r="E103" s="11" t="str">
        <x:v>10.5281/zenodo.19210954</x:v>
      </x:c>
      <x:c r="F103" s="11" t="str">
        <x:v>zenodo</x:v>
      </x:c>
      <x:c r="G103" s="11" t="str">
        <x:v>PUBLIC</x:v>
      </x:c>
      <x:c r="H103" s="11" t="str"/>
      <x:c r="I103" s="11" t="str">
        <x:v>https://zenodo.org/records/19210954</x:v>
      </x:c>
      <x:c r="J103" s="11" t="str"/>
      <x:c r="K103" s="11" t="str">
        <x:v>public/reach/public-release-timeline.csv</x:v>
      </x:c>
    </x:row>
    <x:row r="104">
      <x:c r="A104" s="11" t="str">
        <x:v>PUB-0103</x:v>
      </x:c>
      <x:c r="B104" s="11" t="str">
        <x:v>PUBLIC_RELEASE</x:v>
      </x:c>
      <x:c r="C104" s="11" t="str">
        <x:v>2026-03-24</x:v>
      </x:c>
      <x:c r="D104" s="11" t="str">
        <x:v>Universal Orthogonality Invariant: The Generative Nature of i</x:v>
      </x:c>
      <x:c r="E104" s="11" t="str">
        <x:v>10.5281/zenodo.19211725</x:v>
      </x:c>
      <x:c r="F104" s="11" t="str">
        <x:v>zenodo</x:v>
      </x:c>
      <x:c r="G104" s="11" t="str">
        <x:v>PUBLIC</x:v>
      </x:c>
      <x:c r="H104" s="11" t="str"/>
      <x:c r="I104" s="11" t="str">
        <x:v>https://zenodo.org/records/19211725</x:v>
      </x:c>
      <x:c r="J104" s="11" t="str"/>
      <x:c r="K104" s="11" t="str">
        <x:v>public/reach/public-release-timeline.csv</x:v>
      </x:c>
    </x:row>
    <x:row r="105">
      <x:c r="A105" s="11" t="str">
        <x:v>PUB-0104</x:v>
      </x:c>
      <x:c r="B105" s="11" t="str">
        <x:v>PUBLIC_RELEASE</x:v>
      </x:c>
      <x:c r="C105" s="11" t="str">
        <x:v>2026-03-24</x:v>
      </x:c>
      <x:c r="D105" s="11" t="str">
        <x:v>Universal Orthogonality Invariant: The Generative Nature of i</x:v>
      </x:c>
      <x:c r="E105" s="11" t="str">
        <x:v>10.5281/zenodo.19210923</x:v>
      </x:c>
      <x:c r="F105" s="11" t="str">
        <x:v>zenodo</x:v>
      </x:c>
      <x:c r="G105" s="11" t="str">
        <x:v>PUBLIC</x:v>
      </x:c>
      <x:c r="H105" s="11" t="str"/>
      <x:c r="I105" s="11" t="str">
        <x:v>https://zenodo.org/records/19210923</x:v>
      </x:c>
      <x:c r="J105" s="11" t="str"/>
      <x:c r="K105" s="11" t="str">
        <x:v>public/reach/public-release-timeline.csv</x:v>
      </x:c>
    </x:row>
    <x:row r="106">
      <x:c r="A106" s="11" t="str">
        <x:v>PUB-0105</x:v>
      </x:c>
      <x:c r="B106" s="11" t="str">
        <x:v>PUBLIC_RELEASE</x:v>
      </x:c>
      <x:c r="C106" s="11" t="str">
        <x:v>2026-03-26</x:v>
      </x:c>
      <x:c r="D106" s="11" t="str">
        <x:v>The Full Lifted Object of the Primitive Roll: Exact Balanced-Window Evolution, True Return, π-Position, and the First Completion Bridge</x:v>
      </x:c>
      <x:c r="E106" s="11" t="str">
        <x:v>10.5281/zenodo.19242223</x:v>
      </x:c>
      <x:c r="F106" s="11" t="str">
        <x:v>zenodo</x:v>
      </x:c>
      <x:c r="G106" s="11" t="str">
        <x:v>PUBLIC</x:v>
      </x:c>
      <x:c r="H106" s="11" t="str"/>
      <x:c r="I106" s="11" t="str">
        <x:v>https://zenodo.org/records/19242223</x:v>
      </x:c>
      <x:c r="J106" s="11" t="str"/>
      <x:c r="K106" s="11" t="str">
        <x:v>public/reach/public-release-timeline.csv</x:v>
      </x:c>
    </x:row>
    <x:row r="107">
      <x:c r="A107" s="11" t="str">
        <x:v>PUB-0106</x:v>
      </x:c>
      <x:c r="B107" s="11" t="str">
        <x:v>PUBLIC_RELEASE</x:v>
      </x:c>
      <x:c r="C107" s="11" t="str">
        <x:v>2026-03-27</x:v>
      </x:c>
      <x:c r="D107" s="11" t="str">
        <x:v>CF19: The Full Lifted Object of the Primitive Roll and Exact Return to Lifted Origin</x:v>
      </x:c>
      <x:c r="E107" s="11" t="str">
        <x:v>10.5281/zenodo.19267927</x:v>
      </x:c>
      <x:c r="F107" s="11" t="str">
        <x:v>zenodo</x:v>
      </x:c>
      <x:c r="G107" s="11" t="str">
        <x:v>PUBLIC</x:v>
      </x:c>
      <x:c r="H107" s="11" t="str"/>
      <x:c r="I107" s="11" t="str">
        <x:v>https://zenodo.org/records/19267927</x:v>
      </x:c>
      <x:c r="J107" s="11" t="str"/>
      <x:c r="K107" s="11" t="str">
        <x:v>public/reach/public-release-timeline.csv</x:v>
      </x:c>
    </x:row>
    <x:row r="108">
      <x:c r="A108" s="11" t="str">
        <x:v>PUB-0107</x:v>
      </x:c>
      <x:c r="B108" s="11" t="str">
        <x:v>PUBLIC_RELEASE</x:v>
      </x:c>
      <x:c r="C108" s="11" t="str">
        <x:v>2026-04-01</x:v>
      </x:c>
      <x:c r="D108" s="11" t="str">
        <x:v>CF000: Primitive Distinguishability and Orthogonal Articulation</x:v>
      </x:c>
      <x:c r="E108" s="11" t="str">
        <x:v>10.5281/zenodo.19380587</x:v>
      </x:c>
      <x:c r="F108" s="11" t="str">
        <x:v>zenodo</x:v>
      </x:c>
      <x:c r="G108" s="11" t="str">
        <x:v>PUBLIC</x:v>
      </x:c>
      <x:c r="H108" s="11" t="str"/>
      <x:c r="I108" s="11" t="str">
        <x:v>https://zenodo.org/records/19380587</x:v>
      </x:c>
      <x:c r="J108" s="11" t="str"/>
      <x:c r="K108" s="11" t="str">
        <x:v>public/reach/public-release-timeline.csv</x:v>
      </x:c>
    </x:row>
    <x:row r="109">
      <x:c r="A109" s="11" t="str">
        <x:v>PUB-0108</x:v>
      </x:c>
      <x:c r="B109" s="11" t="str">
        <x:v>PUBLIC_RELEASE</x:v>
      </x:c>
      <x:c r="C109" s="11" t="str">
        <x:v>2026-04-01</x:v>
      </x:c>
      <x:c r="D109" s="11" t="str">
        <x:v>CF00: Induced Geometry and Emergent Dynamics</x:v>
      </x:c>
      <x:c r="E109" s="11" t="str">
        <x:v>10.5281/zenodo.19380518</x:v>
      </x:c>
      <x:c r="F109" s="11" t="str">
        <x:v>zenodo</x:v>
      </x:c>
      <x:c r="G109" s="11" t="str">
        <x:v>PUBLIC</x:v>
      </x:c>
      <x:c r="H109" s="11" t="str"/>
      <x:c r="I109" s="11" t="str">
        <x:v>https://zenodo.org/records/19380518</x:v>
      </x:c>
      <x:c r="J109" s="11" t="str"/>
      <x:c r="K109" s="11" t="str">
        <x:v>public/reach/public-release-timeline.csv</x:v>
      </x:c>
    </x:row>
    <x:row r="110">
      <x:c r="A110" s="11" t="str">
        <x:v>PUB-0109</x:v>
      </x:c>
      <x:c r="B110" s="11" t="str">
        <x:v>PUBLIC_RELEASE</x:v>
      </x:c>
      <x:c r="C110" s="11" t="str">
        <x:v>2026-04-01</x:v>
      </x:c>
      <x:c r="D110" s="11" t="str">
        <x:v>CF01: Quantum Geometric Tensor Decomposition to Metriplectic Brackets</x:v>
      </x:c>
      <x:c r="E110" s="11" t="str">
        <x:v>10.5281/zenodo.19380435</x:v>
      </x:c>
      <x:c r="F110" s="11" t="str">
        <x:v>zenodo</x:v>
      </x:c>
      <x:c r="G110" s="11" t="str">
        <x:v>PUBLIC</x:v>
      </x:c>
      <x:c r="H110" s="11" t="str"/>
      <x:c r="I110" s="11" t="str">
        <x:v>https://zenodo.org/records/19380435</x:v>
      </x:c>
      <x:c r="J110" s="11" t="str"/>
      <x:c r="K110" s="11" t="str">
        <x:v>public/reach/public-release-timeline.csv</x:v>
      </x:c>
    </x:row>
    <x:row r="111">
      <x:c r="A111" s="11" t="str">
        <x:v>PUB-0110</x:v>
      </x:c>
      <x:c r="B111" s="11" t="str">
        <x:v>PUBLIC_RELEASE</x:v>
      </x:c>
      <x:c r="C111" s="11" t="str">
        <x:v>2026-04-01</x:v>
      </x:c>
      <x:c r="D111" s="11" t="str">
        <x:v>CF02: Connecting Contact Geometry to Metriplectic Evolution</x:v>
      </x:c>
      <x:c r="E111" s="11" t="str">
        <x:v>10.5281/zenodo.19380257</x:v>
      </x:c>
      <x:c r="F111" s="11" t="str">
        <x:v>zenodo</x:v>
      </x:c>
      <x:c r="G111" s="11" t="str">
        <x:v>PUBLIC</x:v>
      </x:c>
      <x:c r="H111" s="11" t="str"/>
      <x:c r="I111" s="11" t="str">
        <x:v>https://zenodo.org/records/19380257</x:v>
      </x:c>
      <x:c r="J111" s="11" t="str"/>
      <x:c r="K111" s="11" t="str">
        <x:v>public/reach/public-release-timeline.csv</x:v>
      </x:c>
    </x:row>
    <x:row r="112">
      <x:c r="A112" s="11" t="str">
        <x:v>PUB-0111</x:v>
      </x:c>
      <x:c r="B112" s="11" t="str">
        <x:v>PUBLIC_RELEASE</x:v>
      </x:c>
      <x:c r="C112" s="11" t="str">
        <x:v>2026-04-01</x:v>
      </x:c>
      <x:c r="D112" s="11" t="str">
        <x:v>CF03: Logarithmic Scaling Theorem (Hierarchical Tachyonic Interfaces)</x:v>
      </x:c>
      <x:c r="E112" s="11" t="str">
        <x:v>10.5281/zenodo.19380133</x:v>
      </x:c>
      <x:c r="F112" s="11" t="str">
        <x:v>zenodo</x:v>
      </x:c>
      <x:c r="G112" s="11" t="str">
        <x:v>PUBLIC</x:v>
      </x:c>
      <x:c r="H112" s="11" t="str"/>
      <x:c r="I112" s="11" t="str">
        <x:v>https://zenodo.org/records/19380133</x:v>
      </x:c>
      <x:c r="J112" s="11" t="str"/>
      <x:c r="K112" s="11" t="str">
        <x:v>public/reach/public-release-timeline.csv</x:v>
      </x:c>
    </x:row>
    <x:row r="113">
      <x:c r="A113" s="11" t="str">
        <x:v>PUB-0112</x:v>
      </x:c>
      <x:c r="B113" s="11" t="str">
        <x:v>PUBLIC_RELEASE</x:v>
      </x:c>
      <x:c r="C113" s="11" t="str">
        <x:v>2026-04-01</x:v>
      </x:c>
      <x:c r="D113" s="11" t="str">
        <x:v>CF04: Telegraph-Fisher Causality (Finite-Speed Transport)</x:v>
      </x:c>
      <x:c r="E113" s="11" t="str">
        <x:v>10.5281/zenodo.19380039</x:v>
      </x:c>
      <x:c r="F113" s="11" t="str">
        <x:v>zenodo</x:v>
      </x:c>
      <x:c r="G113" s="11" t="str">
        <x:v>PUBLIC</x:v>
      </x:c>
      <x:c r="H113" s="11" t="str"/>
      <x:c r="I113" s="11" t="str">
        <x:v>https://zenodo.org/records/19380039</x:v>
      </x:c>
      <x:c r="J113" s="11" t="str"/>
      <x:c r="K113" s="11" t="str">
        <x:v>public/reach/public-release-timeline.csv</x:v>
      </x:c>
    </x:row>
    <x:row r="114">
      <x:c r="A114" s="11" t="str">
        <x:v>PUB-0113</x:v>
      </x:c>
      <x:c r="B114" s="11" t="str">
        <x:v>PUBLIC_RELEASE</x:v>
      </x:c>
      <x:c r="C114" s="11" t="str">
        <x:v>2026-04-01</x:v>
      </x:c>
      <x:c r="D114" s="11" t="str">
        <x:v>CF05: Integrability Closure (No Hidden Conserved Quantities)</x:v>
      </x:c>
      <x:c r="E114" s="11" t="str">
        <x:v>10.5281/zenodo.19379928</x:v>
      </x:c>
      <x:c r="F114" s="11" t="str">
        <x:v>zenodo</x:v>
      </x:c>
      <x:c r="G114" s="11" t="str">
        <x:v>PUBLIC</x:v>
      </x:c>
      <x:c r="H114" s="11" t="str"/>
      <x:c r="I114" s="11" t="str">
        <x:v>https://zenodo.org/records/19379928</x:v>
      </x:c>
      <x:c r="J114" s="11" t="str"/>
      <x:c r="K114" s="11" t="str">
        <x:v>public/reach/public-release-timeline.csv</x:v>
      </x:c>
    </x:row>
    <x:row r="115">
      <x:c r="A115" s="11" t="str">
        <x:v>PUB-0114</x:v>
      </x:c>
      <x:c r="B115" s="11" t="str">
        <x:v>PUBLIC_RELEASE</x:v>
      </x:c>
      <x:c r="C115" s="11" t="str">
        <x:v>2026-04-02</x:v>
      </x:c>
      <x:c r="D115" s="11" t="str">
        <x:v>CF06: Information Geometry Foundations — Fisher and Ruppeiner Metrics for the M-Limb</x:v>
      </x:c>
      <x:c r="E115" s="11" t="str">
        <x:v>10.5281/zenodo.19382911</x:v>
      </x:c>
      <x:c r="F115" s="11" t="str">
        <x:v>zenodo</x:v>
      </x:c>
      <x:c r="G115" s="11" t="str">
        <x:v>PUBLIC</x:v>
      </x:c>
      <x:c r="H115" s="11" t="str"/>
      <x:c r="I115" s="11" t="str">
        <x:v>https://zenodo.org/records/19382911</x:v>
      </x:c>
      <x:c r="J115" s="11" t="str"/>
      <x:c r="K115" s="11" t="str">
        <x:v>public/reach/public-release-timeline.csv</x:v>
      </x:c>
    </x:row>
    <x:row r="116">
      <x:c r="A116" s="11" t="str">
        <x:v>PUB-0115</x:v>
      </x:c>
      <x:c r="B116" s="11" t="str">
        <x:v>PUBLIC_RELEASE</x:v>
      </x:c>
      <x:c r="C116" s="11" t="str">
        <x:v>2026-04-02</x:v>
      </x:c>
      <x:c r="D116" s="11" t="str">
        <x:v>CF06: Information Geometry Foundations — Fisher and Ruppeiner Metrics for the M-Limb</x:v>
      </x:c>
      <x:c r="E116" s="11" t="str">
        <x:v>10.5281/zenodo.19382899</x:v>
      </x:c>
      <x:c r="F116" s="11" t="str">
        <x:v>zenodo</x:v>
      </x:c>
      <x:c r="G116" s="11" t="str">
        <x:v>PUBLIC</x:v>
      </x:c>
      <x:c r="H116" s="11" t="str"/>
      <x:c r="I116" s="11" t="str">
        <x:v>https://zenodo.org/records/19382899</x:v>
      </x:c>
      <x:c r="J116" s="11" t="str"/>
      <x:c r="K116" s="11" t="str">
        <x:v>public/reach/public-release-timeline.csv</x:v>
      </x:c>
    </x:row>
    <x:row r="117">
      <x:c r="A117" s="11" t="str">
        <x:v>PUB-0116</x:v>
      </x:c>
      <x:c r="B117" s="11" t="str">
        <x:v>PUBLIC_RELEASE</x:v>
      </x:c>
      <x:c r="C117" s="11" t="str">
        <x:v>2026-04-06</x:v>
      </x:c>
      <x:c r="D117" s="11" t="str">
        <x:v>Phase Calculus - Lifted-State Operator Calculus of the Primitive Roll with Connection Closure and Shadow/Completion Branch</x:v>
      </x:c>
      <x:c r="E117" s="11" t="str">
        <x:v>10.5281/zenodo.19447474</x:v>
      </x:c>
      <x:c r="F117" s="11" t="str">
        <x:v>zenodo</x:v>
      </x:c>
      <x:c r="G117" s="11" t="str">
        <x:v>PUBLIC</x:v>
      </x:c>
      <x:c r="H117" s="11" t="str"/>
      <x:c r="I117" s="11" t="str">
        <x:v>https://zenodo.org/records/19447474</x:v>
      </x:c>
      <x:c r="J117" s="11" t="str"/>
      <x:c r="K117" s="11" t="str">
        <x:v>public/reach/public-release-timeline.csv</x:v>
      </x:c>
    </x:row>
    <x:row r="118">
      <x:c r="A118" s="11" t="str">
        <x:v>PUB-0117</x:v>
      </x:c>
      <x:c r="B118" s="11" t="str">
        <x:v>PUBLIC_RELEASE</x:v>
      </x:c>
      <x:c r="C118" s="11" t="str">
        <x:v>2026-04-07</x:v>
      </x:c>
      <x:c r="D118" s="11" t="str">
        <x:v>Phase Calculus - Lifted-State Operator Calculus of the Primitive Roll with Connection Closure and Shadow/Completion Branch</x:v>
      </x:c>
      <x:c r="E118" s="11" t="str">
        <x:v>10.5281/zenodo.19449044</x:v>
      </x:c>
      <x:c r="F118" s="11" t="str">
        <x:v>zenodo</x:v>
      </x:c>
      <x:c r="G118" s="11" t="str">
        <x:v>PUBLIC</x:v>
      </x:c>
      <x:c r="H118" s="11" t="str"/>
      <x:c r="I118" s="11" t="str">
        <x:v>https://zenodo.org/records/19449044</x:v>
      </x:c>
      <x:c r="J118" s="11" t="str"/>
      <x:c r="K118" s="11" t="str">
        <x:v>public/reach/public-release-timeline.csv</x:v>
      </x:c>
    </x:row>
    <x:row r="119">
      <x:c r="A119" s="11" t="str">
        <x:v>PUB-0118</x:v>
      </x:c>
      <x:c r="B119" s="11" t="str">
        <x:v>PUBLIC_RELEASE</x:v>
      </x:c>
      <x:c r="C119" s="11" t="str">
        <x:v>2026-04-07</x:v>
      </x:c>
      <x:c r="D119" s="11" t="str">
        <x:v>Phase Calculus - Lifted-State Operator Calculus of the Primitive Roll with Connection Closure and Shadow/Completion Branch</x:v>
      </x:c>
      <x:c r="E119" s="11" t="str">
        <x:v>10.5281/zenodo.19446535</x:v>
      </x:c>
      <x:c r="F119" s="11" t="str">
        <x:v>zenodo</x:v>
      </x:c>
      <x:c r="G119" s="11" t="str">
        <x:v>PUBLIC</x:v>
      </x:c>
      <x:c r="H119" s="11" t="str"/>
      <x:c r="I119" s="11" t="str">
        <x:v>https://zenodo.org/records/19446535</x:v>
      </x:c>
      <x:c r="J119" s="11" t="str"/>
      <x:c r="K119" s="11" t="str">
        <x:v>public/reach/public-release-timeline.csv</x:v>
      </x:c>
    </x:row>
    <x:row r="120">
      <x:c r="A120" s="11" t="str">
        <x:v>PUB-0119</x:v>
      </x:c>
      <x:c r="B120" s="11" t="str">
        <x:v>PUBLIC_RELEASE</x:v>
      </x:c>
      <x:c r="C120" s="11" t="str">
        <x:v>2026-04-10</x:v>
      </x:c>
      <x:c r="D120" s="11" t="str">
        <x:v>Phase Calculus - Lifted-State Operator Calculus of the Primitive Roll with Connection Closure and Shadow/Completion Branch</x:v>
      </x:c>
      <x:c r="E120" s="11" t="str">
        <x:v>10.5281/zenodo.19491529</x:v>
      </x:c>
      <x:c r="F120" s="11" t="str">
        <x:v>zenodo</x:v>
      </x:c>
      <x:c r="G120" s="11" t="str">
        <x:v>PUBLIC</x:v>
      </x:c>
      <x:c r="H120" s="11" t="str"/>
      <x:c r="I120" s="11" t="str">
        <x:v>https://zenodo.org/records/19491529</x:v>
      </x:c>
      <x:c r="J120" s="11" t="str"/>
      <x:c r="K120" s="11" t="str">
        <x:v>public/reach/public-release-timeline.csv</x:v>
      </x:c>
    </x:row>
    <x:row r="121">
      <x:c r="A121" s="11" t="str">
        <x:v>PUB-0120</x:v>
      </x:c>
      <x:c r="B121" s="11" t="str">
        <x:v>PUBLIC_RELEASE</x:v>
      </x:c>
      <x:c r="C121" s="11" t="str">
        <x:v>2026-04-12</x:v>
      </x:c>
      <x:c r="D121" s="11" t="str">
        <x:v>DRAFT Operational Utility and Multiscale Invariance of Phase Calculus: A Discrete Foundational Grammar for Dynamics</x:v>
      </x:c>
      <x:c r="E121" s="11" t="str">
        <x:v>10.5281/zenodo.19521030</x:v>
      </x:c>
      <x:c r="F121" s="11" t="str">
        <x:v>zenodo</x:v>
      </x:c>
      <x:c r="G121" s="11" t="str">
        <x:v>PUBLIC</x:v>
      </x:c>
      <x:c r="H121" s="11" t="str"/>
      <x:c r="I121" s="11" t="str">
        <x:v>https://zenodo.org/records/19521030</x:v>
      </x:c>
      <x:c r="J121" s="11" t="str"/>
      <x:c r="K121" s="11" t="str">
        <x:v>public/reach/public-release-timeline.csv</x:v>
      </x:c>
    </x:row>
    <x:row r="122">
      <x:c r="A122" s="11" t="str">
        <x:v>PUB-0121</x:v>
      </x:c>
      <x:c r="B122" s="11" t="str">
        <x:v>PUBLIC_RELEASE</x:v>
      </x:c>
      <x:c r="C122" s="11" t="str">
        <x:v>2026-04-13</x:v>
      </x:c>
      <x:c r="D122" s="11" t="str">
        <x:v>DRAFT Advanced Non-Scalar Paradigms for Evaluating Large Language Model Efficacy</x:v>
      </x:c>
      <x:c r="E122" s="11" t="str">
        <x:v>10.5281/zenodo.19550387</x:v>
      </x:c>
      <x:c r="F122" s="11" t="str">
        <x:v>zenodo</x:v>
      </x:c>
      <x:c r="G122" s="11" t="str">
        <x:v>PUBLIC</x:v>
      </x:c>
      <x:c r="H122" s="11" t="str"/>
      <x:c r="I122" s="11" t="str">
        <x:v>https://zenodo.org/records/19550387</x:v>
      </x:c>
      <x:c r="J122" s="11" t="str"/>
      <x:c r="K122" s="11" t="str">
        <x:v>public/reach/public-release-timeline.csv</x:v>
      </x:c>
    </x:row>
    <x:row r="123">
      <x:c r="A123" s="11" t="str">
        <x:v>PUB-0122</x:v>
      </x:c>
      <x:c r="B123" s="11" t="str">
        <x:v>PUBLIC_RELEASE</x:v>
      </x:c>
      <x:c r="C123" s="11" t="str">
        <x:v>2026-04-13</x:v>
      </x:c>
      <x:c r="D123" s="11" t="str">
        <x:v>Void Dynamics Model (VDM) — Canon, Instruments, and Nexus Architecture</x:v>
      </x:c>
      <x:c r="E123" s="11" t="str">
        <x:v>10.5281/zenodo.19550007</x:v>
      </x:c>
      <x:c r="F123" s="11" t="str">
        <x:v>zenodo</x:v>
      </x:c>
      <x:c r="G123" s="11" t="str">
        <x:v>PUBLIC</x:v>
      </x:c>
      <x:c r="H123" s="11" t="str"/>
      <x:c r="I123" s="11" t="str">
        <x:v>https://zenodo.org/records/19550007</x:v>
      </x:c>
      <x:c r="J123" s="11" t="str"/>
      <x:c r="K123" s="11" t="str">
        <x:v>public/reach/public-release-timeline.csv</x:v>
      </x:c>
    </x:row>
    <x:row r="124">
      <x:c r="A124" s="11" t="str">
        <x:v>PUB-0123</x:v>
      </x:c>
      <x:c r="B124" s="11" t="str">
        <x:v>PUBLIC_RELEASE</x:v>
      </x:c>
      <x:c r="C124" s="11" t="str">
        <x:v>2026-04-13</x:v>
      </x:c>
      <x:c r="D124" s="11" t="str">
        <x:v>justinlietz93/primitive_bifurcation_law_VDM: Zenodo Release</x:v>
      </x:c>
      <x:c r="E124" s="11" t="str">
        <x:v>10.5281/zenodo.19550101</x:v>
      </x:c>
      <x:c r="F124" s="11" t="str">
        <x:v>zenodo</x:v>
      </x:c>
      <x:c r="G124" s="11" t="str">
        <x:v>PUBLIC</x:v>
      </x:c>
      <x:c r="H124" s="11" t="str"/>
      <x:c r="I124" s="11" t="str">
        <x:v>https://zenodo.org/records/19550101</x:v>
      </x:c>
      <x:c r="J124" s="11" t="str"/>
      <x:c r="K124" s="11" t="str">
        <x:v>public/reach/public-release-timeline.csv</x:v>
      </x:c>
    </x:row>
    <x:row r="125">
      <x:c r="A125" s="11" t="str">
        <x:v>PUB-0124</x:v>
      </x:c>
      <x:c r="B125" s="11" t="str">
        <x:v>PUBLIC_RELEASE</x:v>
      </x:c>
      <x:c r="C125" s="11" t="str">
        <x:v>2026-04-14</x:v>
      </x:c>
      <x:c r="D125" s="11" t="str">
        <x:v>Void Dynamics Model (VDM) — Canon, Instruments, and Nexus Architecture</x:v>
      </x:c>
      <x:c r="E125" s="11" t="str">
        <x:v>10.5281/zenodo.19561401</x:v>
      </x:c>
      <x:c r="F125" s="11" t="str">
        <x:v>zenodo</x:v>
      </x:c>
      <x:c r="G125" s="11" t="str">
        <x:v>PUBLIC</x:v>
      </x:c>
      <x:c r="H125" s="11" t="str"/>
      <x:c r="I125" s="11" t="str">
        <x:v>https://zenodo.org/records/19561401</x:v>
      </x:c>
      <x:c r="J125" s="11" t="str"/>
      <x:c r="K125" s="11" t="str">
        <x:v>public/reach/public-release-timeline.csv</x:v>
      </x:c>
    </x:row>
    <x:row r="126">
      <x:c r="A126" s="11" t="str">
        <x:v>PUB-0125</x:v>
      </x:c>
      <x:c r="B126" s="11" t="str">
        <x:v>PUBLIC_RELEASE</x:v>
      </x:c>
      <x:c r="C126" s="11" t="str">
        <x:v>2026-04-16</x:v>
      </x:c>
      <x:c r="D126" s="11" t="str">
        <x:v>Cogito: Computational framework employing a Syncretic Catalyst (synthesis) &amp; rigorous Critique System (analysis) autonom</x:v>
      </x:c>
      <x:c r="E126" s="11" t="str">
        <x:v>Neuroca-Inc/Cogito-Research</x:v>
      </x:c>
      <x:c r="F126" s="11" t="str">
        <x:v>github</x:v>
      </x:c>
      <x:c r="G126" s="11" t="str">
        <x:v>PUBLIC</x:v>
      </x:c>
      <x:c r="H126" s="11" t="str"/>
      <x:c r="I126" s="11" t="str">
        <x:v>https://github.com/Neuroca-Inc/Cogito-Research</x:v>
      </x:c>
      <x:c r="J126" s="11" t="str"/>
      <x:c r="K126" s="11" t="str">
        <x:v>public/reach/public-release-timeline.csv</x:v>
      </x:c>
    </x:row>
    <x:row r="127">
      <x:c r="A127" s="11" t="str">
        <x:v>PUB-0126</x:v>
      </x:c>
      <x:c r="B127" s="11" t="str">
        <x:v>PUBLIC_RELEASE</x:v>
      </x:c>
      <x:c r="C127" s="11" t="str">
        <x:v>2026-04-16</x:v>
      </x:c>
      <x:c r="D127" s="11" t="str">
        <x:v>Neuroca-Inc/Cogito-Research: Zenodo Release v0.2</x:v>
      </x:c>
      <x:c r="E127" s="11" t="str">
        <x:v>10.5281/zenodo.19601368</x:v>
      </x:c>
      <x:c r="F127" s="11" t="str">
        <x:v>zenodo</x:v>
      </x:c>
      <x:c r="G127" s="11" t="str">
        <x:v>PUBLIC</x:v>
      </x:c>
      <x:c r="H127" s="11" t="str"/>
      <x:c r="I127" s="11" t="str">
        <x:v>https://zenodo.org/records/19601368</x:v>
      </x:c>
      <x:c r="J127" s="11" t="str"/>
      <x:c r="K127" s="11" t="str">
        <x:v>public/reach/public-release-timeline.csv</x:v>
      </x:c>
    </x:row>
    <x:row r="128">
      <x:c r="A128" s="11" t="str">
        <x:v>PUB-0127</x:v>
      </x:c>
      <x:c r="B128" s="11" t="str">
        <x:v>PUBLIC_RELEASE</x:v>
      </x:c>
      <x:c r="C128" s="11" t="str">
        <x:v>2026-04-18</x:v>
      </x:c>
      <x:c r="D128" s="11" t="str">
        <x:v>Operational Utility and Multiscale Invariance of Phase Calculus: A Discrete Foundational Grammar for Dynamics</x:v>
      </x:c>
      <x:c r="E128" s="11" t="str">
        <x:v>10.5281/zenodo.19651366</x:v>
      </x:c>
      <x:c r="F128" s="11" t="str">
        <x:v>zenodo</x:v>
      </x:c>
      <x:c r="G128" s="11" t="str">
        <x:v>PUBLIC</x:v>
      </x:c>
      <x:c r="H128" s="11" t="str"/>
      <x:c r="I128" s="11" t="str">
        <x:v>https://zenodo.org/records/19651366</x:v>
      </x:c>
      <x:c r="J128" s="11" t="str"/>
      <x:c r="K128" s="11" t="str">
        <x:v>public/reach/public-release-timeline.csv</x:v>
      </x:c>
    </x:row>
    <x:row r="129">
      <x:c r="A129" s="11" t="str">
        <x:v>PUB-0128</x:v>
      </x:c>
      <x:c r="B129" s="11" t="str">
        <x:v>PUBLIC_RELEASE</x:v>
      </x:c>
      <x:c r="C129" s="11" t="str">
        <x:v>2026-04-19</x:v>
      </x:c>
      <x:c r="D129" s="11" t="str">
        <x:v>DRAFT CF000-E1: Forced Oscillation, Curiosity, and Productive Tension</x:v>
      </x:c>
      <x:c r="E129" s="11" t="str">
        <x:v>10.5281/zenodo.19650307</x:v>
      </x:c>
      <x:c r="F129" s="11" t="str">
        <x:v>zenodo</x:v>
      </x:c>
      <x:c r="G129" s="11" t="str">
        <x:v>PUBLIC</x:v>
      </x:c>
      <x:c r="H129" s="11" t="str"/>
      <x:c r="I129" s="11" t="str">
        <x:v>https://zenodo.org/records/19650307</x:v>
      </x:c>
      <x:c r="J129" s="11" t="str"/>
      <x:c r="K129" s="11" t="str">
        <x:v>public/reach/public-release-timeline.csv</x:v>
      </x:c>
    </x:row>
    <x:row r="130">
      <x:c r="A130" s="11" t="str">
        <x:v>PUB-0129</x:v>
      </x:c>
      <x:c r="B130" s="11" t="str">
        <x:v>PUBLIC_RELEASE</x:v>
      </x:c>
      <x:c r="C130" s="11" t="str">
        <x:v>2026-04-19</x:v>
      </x:c>
      <x:c r="D130" s="11" t="str">
        <x:v>DRAFT Operational Utility and Multiscale Invariance of Phase Calculus: A Discrete Foundational Grammar for Dynamics</x:v>
      </x:c>
      <x:c r="E130" s="11" t="str">
        <x:v>10.5281/zenodo.19650753</x:v>
      </x:c>
      <x:c r="F130" s="11" t="str">
        <x:v>zenodo</x:v>
      </x:c>
      <x:c r="G130" s="11" t="str">
        <x:v>PUBLIC</x:v>
      </x:c>
      <x:c r="H130" s="11" t="str"/>
      <x:c r="I130" s="11" t="str">
        <x:v>https://zenodo.org/records/19650753</x:v>
      </x:c>
      <x:c r="J130" s="11" t="str"/>
      <x:c r="K130" s="11" t="str">
        <x:v>public/reach/public-release-timeline.csv</x:v>
      </x:c>
    </x:row>
    <x:row r="131">
      <x:c r="A131" s="11" t="str">
        <x:v>PUB-0130</x:v>
      </x:c>
      <x:c r="B131" s="11" t="str">
        <x:v>PUBLIC_RELEASE</x:v>
      </x:c>
      <x:c r="C131" s="11" t="str">
        <x:v>2026-04-19</x:v>
      </x:c>
      <x:c r="D131" s="11" t="str">
        <x:v>justinlietz93/Advanced-AI-Math: v0.01_Zenodo_Provenance</x:v>
      </x:c>
      <x:c r="E131" s="11" t="str">
        <x:v>10.5281/zenodo.19649999</x:v>
      </x:c>
      <x:c r="F131" s="11" t="str">
        <x:v>zenodo</x:v>
      </x:c>
      <x:c r="G131" s="11" t="str">
        <x:v>PUBLIC</x:v>
      </x:c>
      <x:c r="H131" s="11" t="str"/>
      <x:c r="I131" s="11" t="str">
        <x:v>https://zenodo.org/records/19649999</x:v>
      </x:c>
      <x:c r="J131" s="11" t="str"/>
      <x:c r="K131" s="11" t="str">
        <x:v>public/reach/public-release-timeline.csv</x:v>
      </x:c>
    </x:row>
    <x:row r="132">
      <x:c r="A132" s="11" t="str">
        <x:v>PUB-0131</x:v>
      </x:c>
      <x:c r="B132" s="11" t="str">
        <x:v>PUBLIC_RELEASE</x:v>
      </x:c>
      <x:c r="C132" s="11" t="str">
        <x:v>2026-04-21</x:v>
      </x:c>
      <x:c r="D132" s="11" t="str">
        <x:v>Quotient Descent and the EML Operator: Why Continuous Composites Are Not Primitives</x:v>
      </x:c>
      <x:c r="E132" s="11" t="str">
        <x:v>10.5281/zenodo.19724444</x:v>
      </x:c>
      <x:c r="F132" s="11" t="str">
        <x:v>zenodo</x:v>
      </x:c>
      <x:c r="G132" s="11" t="str">
        <x:v>PUBLIC</x:v>
      </x:c>
      <x:c r="H132" s="11" t="str"/>
      <x:c r="I132" s="11" t="str">
        <x:v>https://zenodo.org/records/19724444</x:v>
      </x:c>
      <x:c r="J132" s="11" t="str"/>
      <x:c r="K132" s="11" t="str">
        <x:v>public/reach/public-release-timeline.csv</x:v>
      </x:c>
    </x:row>
    <x:row r="133">
      <x:c r="A133" s="11" t="str">
        <x:v>PUB-0132</x:v>
      </x:c>
      <x:c r="B133" s="11" t="str">
        <x:v>PUBLIC_RELEASE</x:v>
      </x:c>
      <x:c r="C133" s="11" t="str">
        <x:v>2026-04-21</x:v>
      </x:c>
      <x:c r="D133" s="11" t="str">
        <x:v>Quotient Descent and the EML Operator: Why Continuous Composites Are Not Primitives</x:v>
      </x:c>
      <x:c r="E133" s="11" t="str">
        <x:v>10.5281/zenodo.19698932</x:v>
      </x:c>
      <x:c r="F133" s="11" t="str">
        <x:v>zenodo</x:v>
      </x:c>
      <x:c r="G133" s="11" t="str">
        <x:v>PUBLIC</x:v>
      </x:c>
      <x:c r="H133" s="11" t="str"/>
      <x:c r="I133" s="11" t="str">
        <x:v>https://zenodo.org/records/19698932</x:v>
      </x:c>
      <x:c r="J133" s="11" t="str"/>
      <x:c r="K133" s="11" t="str">
        <x:v>public/reach/public-release-timeline.csv</x:v>
      </x:c>
    </x:row>
    <x:row r="134">
      <x:c r="A134" s="11" t="str">
        <x:v>PUB-0133</x:v>
      </x:c>
      <x:c r="B134" s="11" t="str">
        <x:v>PUBLIC_RELEASE</x:v>
      </x:c>
      <x:c r="C134" s="11" t="str">
        <x:v>2026-04-21</x:v>
      </x:c>
      <x:c r="D134" s="11" t="str">
        <x:v>Quotient Descent and the EML Operator: Why Continuous Composites Are Not Primitives</x:v>
      </x:c>
      <x:c r="E134" s="11" t="str">
        <x:v>10.5281/zenodo.19688963</x:v>
      </x:c>
      <x:c r="F134" s="11" t="str">
        <x:v>zenodo</x:v>
      </x:c>
      <x:c r="G134" s="11" t="str">
        <x:v>PUBLIC</x:v>
      </x:c>
      <x:c r="H134" s="11" t="str"/>
      <x:c r="I134" s="11" t="str">
        <x:v>https://zenodo.org/records/19688963</x:v>
      </x:c>
      <x:c r="J134" s="11" t="str"/>
      <x:c r="K134" s="11" t="str">
        <x:v>public/reach/public-release-timeline.csv</x:v>
      </x:c>
    </x:row>
    <x:row r="135">
      <x:c r="A135" s="11" t="str">
        <x:v>PUB-0134</x:v>
      </x:c>
      <x:c r="B135" s="11" t="str">
        <x:v>PUBLIC_RELEASE</x:v>
      </x:c>
      <x:c r="C135" s="11" t="str">
        <x:v>2026-04-21</x:v>
      </x:c>
      <x:c r="D135" s="11" t="str">
        <x:v>Quotient Descent and the EML Operator: Why Continuous Composites Are Not Primitives</x:v>
      </x:c>
      <x:c r="E135" s="11" t="str">
        <x:v>10.5281/zenodo.19688140</x:v>
      </x:c>
      <x:c r="F135" s="11" t="str">
        <x:v>zenodo</x:v>
      </x:c>
      <x:c r="G135" s="11" t="str">
        <x:v>PUBLIC</x:v>
      </x:c>
      <x:c r="H135" s="11" t="str"/>
      <x:c r="I135" s="11" t="str">
        <x:v>https://zenodo.org/records/19688140</x:v>
      </x:c>
      <x:c r="J135" s="11" t="str"/>
      <x:c r="K135" s="11" t="str">
        <x:v>public/reach/public-release-timeline.csv</x:v>
      </x:c>
    </x:row>
    <x:row r="136">
      <x:c r="A136" s="11" t="str">
        <x:v>PUB-0135</x:v>
      </x:c>
      <x:c r="B136" s="11" t="str">
        <x:v>PUBLIC_RELEASE</x:v>
      </x:c>
      <x:c r="C136" s="11" t="str">
        <x:v>2026-04-22</x:v>
      </x:c>
      <x:c r="D136" s="11" t="str">
        <x:v>Quotient Descent and the EML Operator: Why Continuous Composites Are Not Primitives</x:v>
      </x:c>
      <x:c r="E136" s="11" t="str">
        <x:v>10.5281/zenodo.19687962</x:v>
      </x:c>
      <x:c r="F136" s="11" t="str">
        <x:v>zenodo</x:v>
      </x:c>
      <x:c r="G136" s="11" t="str">
        <x:v>PUBLIC</x:v>
      </x:c>
      <x:c r="H136" s="11" t="str"/>
      <x:c r="I136" s="11" t="str">
        <x:v>https://zenodo.org/records/19687962</x:v>
      </x:c>
      <x:c r="J136" s="11" t="str"/>
      <x:c r="K136" s="11" t="str">
        <x:v>public/reach/public-release-timeline.csv</x:v>
      </x:c>
    </x:row>
    <x:row r="137">
      <x:c r="A137" s="11" t="str">
        <x:v>PUB-0136</x:v>
      </x:c>
      <x:c r="B137" s="11" t="str">
        <x:v>PUBLIC_RELEASE</x:v>
      </x:c>
      <x:c r="C137" s="11" t="str">
        <x:v>2026-04-24</x:v>
      </x:c>
      <x:c r="D137" s="11" t="str">
        <x:v>Monodromy as Memory: Quotient Commutation Is Not Quotient Injectivity</x:v>
      </x:c>
      <x:c r="E137" s="11" t="str">
        <x:v>10.5281/zenodo.19741769</x:v>
      </x:c>
      <x:c r="F137" s="11" t="str">
        <x:v>zenodo</x:v>
      </x:c>
      <x:c r="G137" s="11" t="str">
        <x:v>PUBLIC</x:v>
      </x:c>
      <x:c r="H137" s="11" t="str"/>
      <x:c r="I137" s="11" t="str">
        <x:v>https://zenodo.org/records/19741769</x:v>
      </x:c>
      <x:c r="J137" s="11" t="str"/>
      <x:c r="K137" s="11" t="str">
        <x:v>public/reach/public-release-timeline.csv</x:v>
      </x:c>
    </x:row>
    <x:row r="138">
      <x:c r="A138" s="11" t="str">
        <x:v>PUB-0137</x:v>
      </x:c>
      <x:c r="B138" s="11" t="str">
        <x:v>PUBLIC_RELEASE</x:v>
      </x:c>
      <x:c r="C138" s="11" t="str">
        <x:v>2026-04-24</x:v>
      </x:c>
      <x:c r="D138" s="11" t="str">
        <x:v>PCVDMFullDynamicsRegressor</x:v>
      </x:c>
      <x:c r="E138" s="11" t="str">
        <x:v>10.5281/zenodo.19742587</x:v>
      </x:c>
      <x:c r="F138" s="11" t="str">
        <x:v>zenodo</x:v>
      </x:c>
      <x:c r="G138" s="11" t="str">
        <x:v>PUBLIC</x:v>
      </x:c>
      <x:c r="H138" s="11" t="str"/>
      <x:c r="I138" s="11" t="str">
        <x:v>https://zenodo.org/records/19742587</x:v>
      </x:c>
      <x:c r="J138" s="11" t="str"/>
      <x:c r="K138" s="11" t="str">
        <x:v>public/reach/public-release-timeline.csv</x:v>
      </x:c>
    </x:row>
    <x:row r="139">
      <x:c r="A139" s="11" t="str">
        <x:v>PUB-0138</x:v>
      </x:c>
      <x:c r="B139" s="11" t="str">
        <x:v>PUBLIC_RELEASE</x:v>
      </x:c>
      <x:c r="C139" s="11" t="str">
        <x:v>2026-04-24</x:v>
      </x:c>
      <x:c r="D139" s="11" t="str">
        <x:v>Phase Calculus as Universal Exact Grammar for Branching Structures</x:v>
      </x:c>
      <x:c r="E139" s="11" t="str">
        <x:v>10.5281/zenodo.19741678</x:v>
      </x:c>
      <x:c r="F139" s="11" t="str">
        <x:v>zenodo</x:v>
      </x:c>
      <x:c r="G139" s="11" t="str">
        <x:v>PUBLIC</x:v>
      </x:c>
      <x:c r="H139" s="11" t="str"/>
      <x:c r="I139" s="11" t="str">
        <x:v>https://zenodo.org/records/19741678</x:v>
      </x:c>
      <x:c r="J139" s="11" t="str"/>
      <x:c r="K139" s="11" t="str">
        <x:v>public/reach/public-release-timeline.csv</x:v>
      </x:c>
    </x:row>
    <x:row r="140">
      <x:c r="A140" s="11" t="str">
        <x:v>PUB-0139</x:v>
      </x:c>
      <x:c r="B140" s="11" t="str">
        <x:v>PUBLIC_RELEASE</x:v>
      </x:c>
      <x:c r="C140" s="11" t="str">
        <x:v>2026-04-24</x:v>
      </x:c>
      <x:c r="D140" s="11" t="str">
        <x:v>Unified Quintic: Lifted Quintic Transport, Red-Filter Quotient Descent, and Immediate Root Certification</x:v>
      </x:c>
      <x:c r="E140" s="11" t="str">
        <x:v>10.5281/zenodo.19725430</x:v>
      </x:c>
      <x:c r="F140" s="11" t="str">
        <x:v>zenodo</x:v>
      </x:c>
      <x:c r="G140" s="11" t="str">
        <x:v>PUBLIC</x:v>
      </x:c>
      <x:c r="H140" s="11" t="str"/>
      <x:c r="I140" s="11" t="str">
        <x:v>https://zenodo.org/records/19725430</x:v>
      </x:c>
      <x:c r="J140" s="11" t="str"/>
      <x:c r="K140" s="11" t="str">
        <x:v>public/reach/public-release-timeline.csv</x:v>
      </x:c>
    </x:row>
    <x:row r="141">
      <x:c r="A141" s="11" t="str">
        <x:v>PUB-0140</x:v>
      </x:c>
      <x:c r="B141" s="11" t="str">
        <x:v>PUBLIC_RELEASE</x:v>
      </x:c>
      <x:c r="C141" s="11" t="str">
        <x:v>2026-04-25</x:v>
      </x:c>
      <x:c r="D141" s="11" t="str">
        <x:v>The Transcendental Wall: State-Complete Inversion and Liouvillian Closure in Phase Calculus</x:v>
      </x:c>
      <x:c r="E141" s="11" t="str">
        <x:v>10.5281/zenodo.19750321</x:v>
      </x:c>
      <x:c r="F141" s="11" t="str">
        <x:v>zenodo</x:v>
      </x:c>
      <x:c r="G141" s="11" t="str">
        <x:v>PUBLIC</x:v>
      </x:c>
      <x:c r="H141" s="11" t="str"/>
      <x:c r="I141" s="11" t="str">
        <x:v>https://zenodo.org/records/19750321</x:v>
      </x:c>
      <x:c r="J141" s="11" t="str"/>
      <x:c r="K141" s="11" t="str">
        <x:v>public/reach/public-release-timeline.csv</x:v>
      </x:c>
    </x:row>
    <x:row r="142">
      <x:c r="A142" s="11" t="str">
        <x:v>PUB-0141</x:v>
      </x:c>
      <x:c r="B142" s="11" t="str">
        <x:v>PUBLIC_RELEASE</x:v>
      </x:c>
      <x:c r="C142" s="11" t="str">
        <x:v>2026-04-27</x:v>
      </x:c>
      <x:c r="D142" s="11" t="str">
        <x:v>CF10: Global Regularity for the Three-Dimensional Navier–Stokes Equations</x:v>
      </x:c>
      <x:c r="E142" s="11" t="str">
        <x:v>10.5281/zenodo.20091655</x:v>
      </x:c>
      <x:c r="F142" s="11" t="str">
        <x:v>zenodo</x:v>
      </x:c>
      <x:c r="G142" s="11" t="str">
        <x:v>PUBLIC</x:v>
      </x:c>
      <x:c r="H142" s="11" t="str"/>
      <x:c r="I142" s="11" t="str">
        <x:v>https://zenodo.org/records/20091655</x:v>
      </x:c>
      <x:c r="J142" s="11" t="str"/>
      <x:c r="K142" s="11" t="str">
        <x:v>public/reach/public-release-timeline.csv</x:v>
      </x:c>
    </x:row>
    <x:row r="143">
      <x:c r="A143" s="11" t="str">
        <x:v>PUB-0142</x:v>
      </x:c>
      <x:c r="B143" s="11" t="str">
        <x:v>PUBLIC_RELEASE</x:v>
      </x:c>
      <x:c r="C143" s="11" t="str">
        <x:v>2026-04-27</x:v>
      </x:c>
      <x:c r="D143" s="11" t="str">
        <x:v>CF10: VDM Lattice Hydrodynamics, Continuum Limit, and Regularity Program</x:v>
      </x:c>
      <x:c r="E143" s="11" t="str">
        <x:v>10.5281/zenodo.19836509</x:v>
      </x:c>
      <x:c r="F143" s="11" t="str">
        <x:v>zenodo</x:v>
      </x:c>
      <x:c r="G143" s="11" t="str">
        <x:v>PUBLIC</x:v>
      </x:c>
      <x:c r="H143" s="11" t="str"/>
      <x:c r="I143" s="11" t="str">
        <x:v>https://zenodo.org/records/19836509</x:v>
      </x:c>
      <x:c r="J143" s="11" t="str"/>
      <x:c r="K143" s="11" t="str">
        <x:v>public/reach/public-release-timeline.csv</x:v>
      </x:c>
    </x:row>
    <x:row r="144">
      <x:c r="A144" s="11" t="str">
        <x:v>PUB-0143</x:v>
      </x:c>
      <x:c r="B144" s="11" t="str">
        <x:v>PUBLIC_RELEASE</x:v>
      </x:c>
      <x:c r="C144" s="11" t="str">
        <x:v>2026-04-27</x:v>
      </x:c>
      <x:c r="D144" s="11" t="str">
        <x:v>CF10: VDM Lattice Hydrodynamics, Continuum Limit, and Regularity Program</x:v>
      </x:c>
      <x:c r="E144" s="11" t="str">
        <x:v>10.5281/zenodo.19834541</x:v>
      </x:c>
      <x:c r="F144" s="11" t="str">
        <x:v>zenodo</x:v>
      </x:c>
      <x:c r="G144" s="11" t="str">
        <x:v>PUBLIC</x:v>
      </x:c>
      <x:c r="H144" s="11" t="str"/>
      <x:c r="I144" s="11" t="str">
        <x:v>https://zenodo.org/records/19834541</x:v>
      </x:c>
      <x:c r="J144" s="11" t="str"/>
      <x:c r="K144" s="11" t="str">
        <x:v>public/reach/public-release-timeline.csv</x:v>
      </x:c>
    </x:row>
    <x:row r="145">
      <x:c r="A145" s="11" t="str">
        <x:v>PUB-0144</x:v>
      </x:c>
      <x:c r="B145" s="11" t="str">
        <x:v>PUBLIC_RELEASE</x:v>
      </x:c>
      <x:c r="C145" s="11" t="str">
        <x:v>2026-04-27</x:v>
      </x:c>
      <x:c r="D145" s="11" t="str">
        <x:v>CF10: VDM Lattice Hydrodynamics, Continuum Limit, and Regularity Program</x:v>
      </x:c>
      <x:c r="E145" s="11" t="str">
        <x:v>10.5281/zenodo.19826747</x:v>
      </x:c>
      <x:c r="F145" s="11" t="str">
        <x:v>zenodo</x:v>
      </x:c>
      <x:c r="G145" s="11" t="str">
        <x:v>PUBLIC</x:v>
      </x:c>
      <x:c r="H145" s="11" t="str"/>
      <x:c r="I145" s="11" t="str">
        <x:v>https://zenodo.org/records/19826747</x:v>
      </x:c>
      <x:c r="J145" s="11" t="str"/>
      <x:c r="K145" s="11" t="str">
        <x:v>public/reach/public-release-timeline.csv</x:v>
      </x:c>
    </x:row>
    <x:row r="146">
      <x:c r="A146" s="11" t="str">
        <x:v>PUB-0145</x:v>
      </x:c>
      <x:c r="B146" s="11" t="str">
        <x:v>PUBLIC_RELEASE</x:v>
      </x:c>
      <x:c r="C146" s="11" t="str">
        <x:v>2026-04-30</x:v>
      </x:c>
      <x:c r="D146" s="11" t="str">
        <x:v>Retained Loop Projection and Branch-History Monodromy in Transdimensional Anomalous Hall Transport</x:v>
      </x:c>
      <x:c r="E146" s="11" t="str">
        <x:v>10.5281/zenodo.19903551</x:v>
      </x:c>
      <x:c r="F146" s="11" t="str">
        <x:v>zenodo</x:v>
      </x:c>
      <x:c r="G146" s="11" t="str">
        <x:v>PUBLIC</x:v>
      </x:c>
      <x:c r="H146" s="11" t="str"/>
      <x:c r="I146" s="11" t="str">
        <x:v>https://zenodo.org/records/19903551</x:v>
      </x:c>
      <x:c r="J146" s="11" t="str"/>
      <x:c r="K146" s="11" t="str">
        <x:v>public/reach/public-release-timeline.csv</x:v>
      </x:c>
    </x:row>
    <x:row r="147">
      <x:c r="A147" s="11" t="str">
        <x:v>PUB-0146</x:v>
      </x:c>
      <x:c r="B147" s="11" t="str">
        <x:v>PUBLIC_RELEASE</x:v>
      </x:c>
      <x:c r="C147" s="11" t="str">
        <x:v>2026-05-09</x:v>
      </x:c>
      <x:c r="D147" s="11" t="str">
        <x:v>The official Neuroca, Inc. repository for the Void Dynamics Model research project.</x:v>
      </x:c>
      <x:c r="E147" s="11" t="str">
        <x:v>Neuroca-Inc/VDM</x:v>
      </x:c>
      <x:c r="F147" s="11" t="str">
        <x:v>github</x:v>
      </x:c>
      <x:c r="G147" s="11" t="str">
        <x:v>PUBLIC</x:v>
      </x:c>
      <x:c r="H147" s="11" t="str"/>
      <x:c r="I147" s="11" t="str">
        <x:v>https://github.com/Neuroca-Inc/VDM</x:v>
      </x:c>
      <x:c r="J147" s="11" t="str"/>
      <x:c r="K147" s="11" t="str">
        <x:v>public/reach/public-release-timeline.csv</x:v>
      </x:c>
    </x:row>
    <x:row r="148">
      <x:c r="A148" s="11" t="str">
        <x:v>PUB-0147</x:v>
      </x:c>
      <x:c r="B148" s="11" t="str">
        <x:v>PUBLIC_RELEASE</x:v>
      </x:c>
      <x:c r="C148" s="11" t="str">
        <x:v>2026-05-12</x:v>
      </x:c>
      <x:c r="D148" s="11" t="str">
        <x:v>Neuroca, Inc's official public authorized repository for a physics grounded approach to modeling real time divergent / c</x:v>
      </x:c>
      <x:c r="E148" s="11" t="str">
        <x:v>Neuroca-Inc/Prometheus_Void-Dynamics_Model</x:v>
      </x:c>
      <x:c r="F148" s="11" t="str">
        <x:v>github</x:v>
      </x:c>
      <x:c r="G148" s="11" t="str">
        <x:v>PUBLIC</x:v>
      </x:c>
      <x:c r="H148" s="11" t="str"/>
      <x:c r="I148" s="11" t="str">
        <x:v>https://github.com/Neuroca-Inc/Prometheus_Void-Dynamics_Model</x:v>
      </x:c>
      <x:c r="J148" s="11" t="str"/>
      <x:c r="K148" s="11" t="str">
        <x:v>public/reach/public-release-timeline.csv</x:v>
      </x:c>
    </x:row>
    <x:row r="149">
      <x:c r="A149" s="11" t="str">
        <x:v>PUB-0148</x:v>
      </x:c>
      <x:c r="B149" s="11" t="str">
        <x:v>PUBLIC_RELEASE</x:v>
      </x:c>
      <x:c r="C149" s="11" t="str">
        <x:v>2026-07-19</x:v>
      </x:c>
      <x:c r="D149" s="11" t="str">
        <x:v>The Lifted Object: A Natural-Language Walkthrough from Primitive Custody to the Orthad</x:v>
      </x:c>
      <x:c r="E149" s="11" t="str">
        <x:v>10.5281/zenodo.21443828</x:v>
      </x:c>
      <x:c r="F149" s="11" t="str">
        <x:v>zenodo</x:v>
      </x:c>
      <x:c r="G149" s="11" t="str">
        <x:v>PUBLIC</x:v>
      </x:c>
      <x:c r="H149" s="11" t="str"/>
      <x:c r="I149" s="11" t="str">
        <x:v>https://zenodo.org/records/21443828</x:v>
      </x:c>
      <x:c r="J149" s="11" t="str"/>
      <x:c r="K149" s="11" t="str">
        <x:v>public/reach/public-release-timeline.csv</x:v>
      </x:c>
    </x:row>
    <x:row r="150">
      <x:c r="A150" s="11" t="str">
        <x:v>PUB-0149</x:v>
      </x:c>
      <x:c r="B150" s="11" t="str">
        <x:v>PUBLIC_RELEASE</x:v>
      </x:c>
      <x:c r="C150" s="11" t="str">
        <x:v>2026-07-19</x:v>
      </x:c>
      <x:c r="D150" s="11" t="str">
        <x:v>The Lifted Object: A Natural-Language Walkthrough from Primitive Custody to the Orthad</x:v>
      </x:c>
      <x:c r="E150" s="11" t="str">
        <x:v>10.5281/zenodo.21439518</x:v>
      </x:c>
      <x:c r="F150" s="11" t="str">
        <x:v>zenodo</x:v>
      </x:c>
      <x:c r="G150" s="11" t="str">
        <x:v>PUBLIC</x:v>
      </x:c>
      <x:c r="H150" s="11" t="str"/>
      <x:c r="I150" s="11" t="str">
        <x:v>https://zenodo.org/records/21439518</x:v>
      </x:c>
      <x:c r="J150" s="11" t="str"/>
      <x:c r="K150" s="11" t="str">
        <x:v>public/reach/public-release-timeline.csv</x:v>
      </x:c>
    </x:row>
    <x:row r="151">
      <x:c r="A151" s="11" t="str">
        <x:v>PUB-0150</x:v>
      </x:c>
      <x:c r="B151" s="11" t="str">
        <x:v>PUBLIC_RELEASE</x:v>
      </x:c>
      <x:c r="C151" s="11" t="str">
        <x:v>2026-07-20</x:v>
      </x:c>
      <x:c r="D151" s="11" t="str">
        <x:v>CF09: Gauge Field Emergence from the Berry Connection</x:v>
      </x:c>
      <x:c r="E151" s="11" t="str">
        <x:v>10.5281/zenodo.21459102</x:v>
      </x:c>
      <x:c r="F151" s="11" t="str">
        <x:v>zenodo</x:v>
      </x:c>
      <x:c r="G151" s="11" t="str">
        <x:v>PUBLIC</x:v>
      </x:c>
      <x:c r="H151" s="11" t="str"/>
      <x:c r="I151" s="11" t="str">
        <x:v>https://zenodo.org/records/21459102</x:v>
      </x:c>
      <x:c r="J151" s="11" t="str"/>
      <x:c r="K151" s="11" t="str">
        <x:v>public/reach/public-release-timeline.csv</x:v>
      </x:c>
    </x:row>
    <x:row r="152">
      <x:c r="A152" s="11" t="str">
        <x:v>PUB-0151</x:v>
      </x:c>
      <x:c r="B152" s="11" t="str">
        <x:v>PUBLIC_RELEASE</x:v>
      </x:c>
      <x:c r="C152" s="11" t="str">
        <x:v>2026-07-22</x:v>
      </x:c>
      <x:c r="D152" s="11" t="str">
        <x:v>Phase Calculus and the 2026 Jacobian Counterexample</x:v>
      </x:c>
      <x:c r="E152" s="11" t="str">
        <x:v>10.5281/zenodo.21586157</x:v>
      </x:c>
      <x:c r="F152" s="11" t="str">
        <x:v>zenodo</x:v>
      </x:c>
      <x:c r="G152" s="11" t="str">
        <x:v>PUBLIC</x:v>
      </x:c>
      <x:c r="H152" s="11" t="str"/>
      <x:c r="I152" s="11" t="str">
        <x:v>https://zenodo.org/records/21586157</x:v>
      </x:c>
      <x:c r="J152" s="11" t="str"/>
      <x:c r="K152" s="11" t="str">
        <x:v>public/reach/public-release-timeline.csv</x:v>
      </x:c>
    </x:row>
    <x:row r="153">
      <x:c r="A153" s="11" t="str">
        <x:v>PUB-0152</x:v>
      </x:c>
      <x:c r="B153" s="11" t="str">
        <x:v>PUBLIC_RELEASE</x:v>
      </x:c>
      <x:c r="C153" s="11" t="str">
        <x:v>2026-08-10</x:v>
      </x:c>
      <x:c r="D153" s="11" t="str">
        <x:v>A native, offline-first desktop game written in Rust for learning to type LaTeX used in graduate mathematics and physics</x:v>
      </x:c>
      <x:c r="E153" s="11" t="str">
        <x:v>Neuroca-Inc/TeXterity</x:v>
      </x:c>
      <x:c r="F153" s="11" t="str">
        <x:v>github</x:v>
      </x:c>
      <x:c r="G153" s="11" t="str">
        <x:v>PUBLIC</x:v>
      </x:c>
      <x:c r="H153" s="11" t="str"/>
      <x:c r="I153" s="11" t="str">
        <x:v>https://github.com/Neuroca-Inc/TeXterity</x:v>
      </x:c>
      <x:c r="J153" s="11" t="str"/>
      <x:c r="K153" s="11" t="str">
        <x:v>public/reach/public-release-timeline.csv</x:v>
      </x:c>
    </x:row>
    <x:row r="154">
      <x:c r="A154" s="11" t="str">
        <x:v>PUB-0153</x:v>
      </x:c>
      <x:c r="B154" s="11" t="str">
        <x:v>PUBLIC_RELEASE</x:v>
      </x:c>
      <x:c r="C154" s="11" t="str">
        <x:v>2026-08-10</x:v>
      </x:c>
      <x:c r="D154" s="11" t="str">
        <x:v>An invariant-first chunk formation package for retrieval, agentic software, and document/code workflows that need source</x:v>
      </x:c>
      <x:c r="E154" s="11" t="str">
        <x:v>Neuroca-Inc/Catalyst_Chunker</x:v>
      </x:c>
      <x:c r="F154" s="11" t="str">
        <x:v>github</x:v>
      </x:c>
      <x:c r="G154" s="11" t="str">
        <x:v>PUBLIC</x:v>
      </x:c>
      <x:c r="H154" s="11" t="str"/>
      <x:c r="I154" s="11" t="str">
        <x:v>https://github.com/Neuroca-Inc/Catalyst_Chunker</x:v>
      </x:c>
      <x:c r="J154" s="11" t="str"/>
      <x:c r="K154" s="11" t="str">
        <x:v>public/reach/public-release-timeline.csv</x:v>
      </x:c>
    </x:row>
    <x:row r="155">
      <x:c r="A155" s="11" t="str">
        <x:v>PUB-0154</x:v>
      </x:c>
      <x:c r="B155" s="11" t="str">
        <x:v>PUBLIC_RELEASE</x:v>
      </x:c>
      <x:c r="C155" s="11" t="str">
        <x:v>2026-08-10</x:v>
      </x:c>
      <x:c r="D155" s="11" t="str">
        <x:v>Dependency graphing, standards auditing, and documentation snapshotting as a fast, lightweight CLI tool.</x:v>
      </x:c>
      <x:c r="E155" s="11" t="str">
        <x:v>Neuroca-Inc/arachnid</x:v>
      </x:c>
      <x:c r="F155" s="11" t="str">
        <x:v>github</x:v>
      </x:c>
      <x:c r="G155" s="11" t="str">
        <x:v>PUBLIC</x:v>
      </x:c>
      <x:c r="H155" s="11" t="str"/>
      <x:c r="I155" s="11" t="str">
        <x:v>https://github.com/Neuroca-Inc/arachnid</x:v>
      </x:c>
      <x:c r="J155" s="11" t="str"/>
      <x:c r="K155" s="11" t="str">
        <x:v>public/reach/public-release-timeline.csv</x:v>
      </x:c>
    </x:row>
    <x:row r="156">
      <x:c r="A156" s="11" t="str">
        <x:v>PUB-0155</x:v>
      </x:c>
      <x:c r="B156" s="11" t="str">
        <x:v>PUBLIC_RELEASE</x:v>
      </x:c>
      <x:c r="C156" s="11" t="str">
        <x:v>2026-08-10</x:v>
      </x:c>
      <x:c r="D156" s="11" t="str">
        <x:v>Local-first desktop application for designing data systems as typed architecture graphs.</x:v>
      </x:c>
      <x:c r="E156" s="11" t="str">
        <x:v>Neuroca-Inc/conduit</x:v>
      </x:c>
      <x:c r="F156" s="11" t="str">
        <x:v>github</x:v>
      </x:c>
      <x:c r="G156" s="11" t="str">
        <x:v>PUBLIC</x:v>
      </x:c>
      <x:c r="H156" s="11" t="str"/>
      <x:c r="I156" s="11" t="str">
        <x:v>https://github.com/Neuroca-Inc/conduit</x:v>
      </x:c>
      <x:c r="J156" s="11" t="str"/>
      <x:c r="K156" s="11" t="str">
        <x:v>public/reach/public-release-timeline.csv</x:v>
      </x:c>
    </x:row>
    <x:row r="157">
      <x:c r="A157" s="11" t="str">
        <x:v>PUB-0156</x:v>
      </x:c>
      <x:c r="B157" s="11" t="str">
        <x:v>PUBLIC_RELEASE</x:v>
      </x:c>
      <x:c r="C157" s="11" t="str">
        <x:v>2026-08-10</x:v>
      </x:c>
      <x:c r="D157" s="11" t="str">
        <x:v>Real-time, zero-training, self-managing topological graph model with emergent learning driven by sophisticated, rich spi</x:v>
      </x:c>
      <x:c r="E157" s="11" t="str">
        <x:v>Neuroca-Inc/vdm_rt</x:v>
      </x:c>
      <x:c r="F157" s="11" t="str">
        <x:v>github</x:v>
      </x:c>
      <x:c r="G157" s="11" t="str">
        <x:v>PUBLIC</x:v>
      </x:c>
      <x:c r="H157" s="11" t="str"/>
      <x:c r="I157" s="11" t="str">
        <x:v>https://github.com/Neuroca-Inc/vdm_rt</x:v>
      </x:c>
      <x:c r="J157" s="11" t="str"/>
      <x:c r="K157" s="11" t="str">
        <x:v>public/reach/public-release-timeline.csv</x:v>
      </x:c>
    </x:row>
    <x:row r="158">
      <x:c r="A158" s="11" t="str">
        <x:v>PUB-0157</x:v>
      </x:c>
      <x:c r="B158" s="11" t="str">
        <x:v>PUBLIC_RELEASE</x:v>
      </x:c>
      <x:c r="C158" s="11" t="str">
        <x:v>2026-08-10</x:v>
      </x:c>
      <x:c r="D158" s="11" t="str">
        <x:v>Table comparison tool used for ETL regression testing.</x:v>
      </x:c>
      <x:c r="E158" s="11" t="str">
        <x:v>Neuroca-Inc/deltus</x:v>
      </x:c>
      <x:c r="F158" s="11" t="str">
        <x:v>github</x:v>
      </x:c>
      <x:c r="G158" s="11" t="str">
        <x:v>PUBLIC</x:v>
      </x:c>
      <x:c r="H158" s="11" t="str"/>
      <x:c r="I158" s="11" t="str">
        <x:v>https://github.com/Neuroca-Inc/deltus</x:v>
      </x:c>
      <x:c r="J158" s="11" t="str"/>
      <x:c r="K158" s="11" t="str">
        <x:v>public/reach/public-release-timeline.csv</x:v>
      </x:c>
    </x:row>
    <x:row r="159">
      <x:c r="A159" s="11" t="str">
        <x:v>PUB-0158</x:v>
      </x:c>
      <x:c r="B159" s="11" t="str">
        <x:v>PUBLIC_RELEASE</x:v>
      </x:c>
      <x:c r="C159" s="11" t="str">
        <x:v>2026-08-10</x:v>
      </x:c>
      <x:c r="D159" s="11" t="str">
        <x:v>Turn things into text. Multi-modality transcriber, OCR, and convert to txt file tool. Resources</x:v>
      </x:c>
      <x:c r="E159" s="11" t="str">
        <x:v>Neuroca-Inc/scriba</x:v>
      </x:c>
      <x:c r="F159" s="11" t="str">
        <x:v>github</x:v>
      </x:c>
      <x:c r="G159" s="11" t="str">
        <x:v>PUBLIC</x:v>
      </x:c>
      <x:c r="H159" s="11" t="str"/>
      <x:c r="I159" s="11" t="str">
        <x:v>https://github.com/Neuroca-Inc/scriba</x:v>
      </x:c>
      <x:c r="J159" s="11" t="str"/>
      <x:c r="K159" s="11" t="str">
        <x:v>public/reach/public-release-timeline.csv</x:v>
      </x:c>
    </x:row>
    <x:row r="160">
      <x:c r="A160" s="11" t="str">
        <x:v>PUB-0159</x:v>
      </x:c>
      <x:c r="B160" s="11" t="str">
        <x:v>PUBLIC_RELEASE</x:v>
      </x:c>
      <x:c r="C160" s="11" t="str">
        <x:v>2026-08-18</x:v>
      </x:c>
      <x:c r="D160" s="11" t="str">
        <x:v>A clean architecture template for Python GUIs.</x:v>
      </x:c>
      <x:c r="E160" s="11" t="str">
        <x:v>Neuroca-Inc/lamina</x:v>
      </x:c>
      <x:c r="F160" s="11" t="str">
        <x:v>github</x:v>
      </x:c>
      <x:c r="G160" s="11" t="str">
        <x:v>PUBLIC</x:v>
      </x:c>
      <x:c r="H160" s="11" t="str"/>
      <x:c r="I160" s="11" t="str">
        <x:v>https://github.com/Neuroca-Inc/lamina</x:v>
      </x:c>
      <x:c r="J160" s="11" t="str"/>
      <x:c r="K160" s="11" t="str">
        <x:v>public/reach/public-release-timeline.csv</x:v>
      </x:c>
    </x:row>
    <x:row r="161">
      <x:c r="A161" s="11" t="str">
        <x:v>PUB-0160</x:v>
      </x:c>
      <x:c r="B161" s="11" t="str">
        <x:v>PUBLIC_RELEASE</x:v>
      </x:c>
      <x:c r="C161" s="11" t="str">
        <x:v>2026-08-19</x:v>
      </x:c>
      <x:c r="D161" s="11" t="str">
        <x:v>Interactive Rust project scaffolding tool. Answer a few questions, learn the reasoning behind each choice, start from a </x:v>
      </x:c>
      <x:c r="E161" s="11" t="str">
        <x:v>Neuroca-Inc/rustruct</x:v>
      </x:c>
      <x:c r="F161" s="11" t="str">
        <x:v>github</x:v>
      </x:c>
      <x:c r="G161" s="11" t="str">
        <x:v>PUBLIC</x:v>
      </x:c>
      <x:c r="H161" s="11" t="str"/>
      <x:c r="I161" s="11" t="str">
        <x:v>https://github.com/Neuroca-Inc/rustruct</x:v>
      </x:c>
      <x:c r="J161" s="11" t="str"/>
      <x:c r="K161" s="11" t="str">
        <x:v>public/reach/public-release-timeline.csv</x:v>
      </x:c>
    </x:row>
    <x:row r="162">
      <x:c r="A162" s="11" t="str">
        <x:v>PUB-0161</x:v>
      </x:c>
      <x:c r="B162" s="11" t="str">
        <x:v>PUBLIC_RELEASE</x:v>
      </x:c>
      <x:c r="C162" s="11" t="str">
        <x:v>2026-08-22</x:v>
      </x:c>
      <x:c r="D162" s="11" t="str">
        <x:v>Local repository indexing and querying tool.</x:v>
      </x:c>
      <x:c r="E162" s="11" t="str">
        <x:v>Neuroca-Inc/beacon</x:v>
      </x:c>
      <x:c r="F162" s="11" t="str">
        <x:v>github</x:v>
      </x:c>
      <x:c r="G162" s="11" t="str">
        <x:v>PUBLIC</x:v>
      </x:c>
      <x:c r="H162" s="11" t="str"/>
      <x:c r="I162" s="11" t="str">
        <x:v>https://github.com/Neuroca-Inc/beacon</x:v>
      </x:c>
      <x:c r="J162" s="11" t="str"/>
      <x:c r="K162" s="11" t="str">
        <x:v>public/reach/public-release-timeline.csv</x:v>
      </x:c>
    </x:row>
    <x:row r="163">
      <x:c r="A163" s="11" t="str">
        <x:v>PUB-0162</x:v>
      </x:c>
      <x:c r="B163" s="11" t="str">
        <x:v>PUBLIC_RELEASE</x:v>
      </x:c>
      <x:c r="C163" s="11" t="str">
        <x:v>2026-08-22</x:v>
      </x:c>
      <x:c r="D163" s="11" t="str">
        <x:v>Three agent project tracking desktop application for recording Operator, Guardian, and Auditor interactions without losi</x:v>
      </x:c>
      <x:c r="E163" s="11" t="str">
        <x:v>Neuroca-Inc/orchestra</x:v>
      </x:c>
      <x:c r="F163" s="11" t="str">
        <x:v>github</x:v>
      </x:c>
      <x:c r="G163" s="11" t="str">
        <x:v>PUBLIC</x:v>
      </x:c>
      <x:c r="H163" s="11" t="str"/>
      <x:c r="I163" s="11" t="str">
        <x:v>https://github.com/Neuroca-Inc/orchestra</x:v>
      </x:c>
      <x:c r="J163" s="11" t="str"/>
      <x:c r="K163" s="11" t="str">
        <x:v>public/reach/public-release-timeline.csv</x:v>
      </x:c>
    </x:row>
    <x:row r="164">
      <x:c r="A164" s="11" t="str">
        <x:v>PUB-0163</x:v>
      </x:c>
      <x:c r="B164" s="11" t="str">
        <x:v>PUBLIC_RELEASE</x:v>
      </x:c>
      <x:c r="C164" s="11" t="str">
        <x:v>2026-08-24</x:v>
      </x:c>
      <x:c r="D164" s="11" t="str">
        <x:v>A filesystem-first library for prompt engineering, context engineering, agent control, reusable AI workflows, research m</x:v>
      </x:c>
      <x:c r="E164" s="11" t="str">
        <x:v>Neuroca-Inc/Perfect_Prompts</x:v>
      </x:c>
      <x:c r="F164" s="11" t="str">
        <x:v>github</x:v>
      </x:c>
      <x:c r="G164" s="11" t="str">
        <x:v>PUBLIC</x:v>
      </x:c>
      <x:c r="H164" s="11" t="str"/>
      <x:c r="I164" s="11" t="str">
        <x:v>https://github.com/Neuroca-Inc/Perfect_Prompts</x:v>
      </x:c>
      <x:c r="J164" s="11" t="str"/>
      <x:c r="K164" s="11" t="str">
        <x:v>public/reach/public-release-timeline.csv</x:v>
      </x:c>
    </x:row>
    <x:row r="165">
      <x:c r="A165" s="11" t="str">
        <x:v>PUB-0164</x:v>
      </x:c>
      <x:c r="B165" s="11" t="str">
        <x:v>PUBLIC_RELEASE</x:v>
      </x:c>
      <x:c r="C165" s="11" t="str">
        <x:v>2026-08-24</x:v>
      </x:c>
      <x:c r="D165" s="11" t="str">
        <x:v>Transform, normalize, extract, and compile mathematical expressions across LaTeX, MathJax, ASCII, Unicode, Python, and R</x:v>
      </x:c>
      <x:c r="E165" s="11" t="str">
        <x:v>Neuroca-Inc/equamorph</x:v>
      </x:c>
      <x:c r="F165" s="11" t="str">
        <x:v>github</x:v>
      </x:c>
      <x:c r="G165" s="11" t="str">
        <x:v>PUBLIC</x:v>
      </x:c>
      <x:c r="H165" s="11" t="str"/>
      <x:c r="I165" s="11" t="str">
        <x:v>https://github.com/Neuroca-Inc/equamorph</x:v>
      </x:c>
      <x:c r="J165" s="11" t="str"/>
      <x:c r="K165" s="11" t="str">
        <x:v>public/reach/public-release-timeline.csv</x:v>
      </x:c>
    </x:row>
    <x:row r="166">
      <x:c r="A166" s="11" t="str">
        <x:v>PUB-0165</x:v>
      </x:c>
      <x:c r="B166" s="11" t="str">
        <x:v>PUBLIC_RELEASE</x:v>
      </x:c>
      <x:c r="C166" s="11" t="str">
        <x:v>2026-08-25</x:v>
      </x:c>
      <x:c r="D166" s="11" t="str">
        <x:v>A Logarithmic First Integral for the Logistic On Site Law in VDM</x:v>
      </x:c>
      <x:c r="E166" s="11" t="str">
        <x:v>10.5281/zenodo.22103196</x:v>
      </x:c>
      <x:c r="F166" s="11" t="str">
        <x:v>zenodo</x:v>
      </x:c>
      <x:c r="G166" s="11" t="str">
        <x:v>PUBLIC</x:v>
      </x:c>
      <x:c r="H166" s="11" t="str"/>
      <x:c r="I166" s="11" t="str">
        <x:v>https://zenodo.org/records/22103196</x:v>
      </x:c>
      <x:c r="J166" s="11" t="str"/>
      <x:c r="K166" s="11" t="str">
        <x:v>public/reach/public-release-timeline.csv</x:v>
      </x:c>
    </x:row>
    <x:row r="167">
      <x:c r="A167" s="11" t="str">
        <x:v>PUB-0166</x:v>
      </x:c>
      <x:c r="B167" s="11" t="str">
        <x:v>PUBLIC_RELEASE</x:v>
      </x:c>
      <x:c r="C167" s="11" t="str">
        <x:v>2026-08-25</x:v>
      </x:c>
      <x:c r="D167" s="11" t="str">
        <x:v>A Logarithmic First Integral for the Logistic On Site Law in Void Dynamics</x:v>
      </x:c>
      <x:c r="E167" s="11" t="str">
        <x:v>10.5281/zenodo.22102244</x:v>
      </x:c>
      <x:c r="F167" s="11" t="str">
        <x:v>zenodo</x:v>
      </x:c>
      <x:c r="G167" s="11" t="str">
        <x:v>PUBLIC</x:v>
      </x:c>
      <x:c r="H167" s="11" t="str"/>
      <x:c r="I167" s="11" t="str">
        <x:v>https://zenodo.org/records/22102244</x:v>
      </x:c>
      <x:c r="J167" s="11" t="str"/>
      <x:c r="K167" s="11" t="str">
        <x:v>public/reach/public-release-timeline.csv</x:v>
      </x:c>
    </x:row>
    <x:row r="168">
      <x:c r="A168" s="11" t="str">
        <x:v>PUB-0167</x:v>
      </x:c>
      <x:c r="B168" s="11" t="str">
        <x:v>PUBLIC_RELEASE</x:v>
      </x:c>
      <x:c r="C168" s="11" t="str">
        <x:v>2026-08-26</x:v>
      </x:c>
      <x:c r="D168" s="11" t="str"/>
      <x:c r="E168" s="11" t="str">
        <x:v>Neuroca-Inc/.github</x:v>
      </x:c>
      <x:c r="F168" s="11" t="str">
        <x:v>github</x:v>
      </x:c>
      <x:c r="G168" s="11" t="str">
        <x:v>PUBLIC</x:v>
      </x:c>
      <x:c r="H168" s="11" t="str"/>
      <x:c r="I168" s="11" t="str">
        <x:v>https://github.com/Neuroca-Inc/.github</x:v>
      </x:c>
      <x:c r="J168" s="11" t="str"/>
      <x:c r="K168" s="11" t="str">
        <x:v>public/reach/public-release-timeline.csv</x:v>
      </x:c>
    </x:row>
    <x:row r="169">
      <x:c r="A169" s="11" t="str">
        <x:v>PUB-0168</x:v>
      </x:c>
      <x:c r="B169" s="11" t="str">
        <x:v>PUBLIC_RELEASE</x:v>
      </x:c>
      <x:c r="C169" s="11" t="str">
        <x:v>2026-08-26</x:v>
      </x:c>
      <x:c r="D169" s="11" t="str">
        <x:v>A local, persistent knowledge organism for text/Markdown files featuring sparse graph dynamics, source-atomic ingestion,</x:v>
      </x:c>
      <x:c r="E169" s="11" t="str">
        <x:v>Neuroca-Inc/vll_organism</x:v>
      </x:c>
      <x:c r="F169" s="11" t="str">
        <x:v>github</x:v>
      </x:c>
      <x:c r="G169" s="11" t="str">
        <x:v>PUBLIC</x:v>
      </x:c>
      <x:c r="H169" s="11" t="str"/>
      <x:c r="I169" s="11" t="str">
        <x:v>https://github.com/Neuroca-Inc/vll_organism</x:v>
      </x:c>
      <x:c r="J169" s="11" t="str"/>
      <x:c r="K169" s="11" t="str">
        <x:v>public/reach/public-release-timeline.csv</x:v>
      </x:c>
    </x:row>
    <x:row r="170">
      <x:c r="A170" s="11" t="str">
        <x:v>PUB-0169</x:v>
      </x:c>
      <x:c r="B170" s="11" t="str">
        <x:v>PUBLIC_RELEASE</x:v>
      </x:c>
      <x:c r="C170" s="11" t="str">
        <x:v>2026-08-26</x:v>
      </x:c>
      <x:c r="D170" s="11" t="str">
        <x:v>A small installable interface around the exact logistic on-site reaction step and logarithmic invariant used in the VDM </x:v>
      </x:c>
      <x:c r="E170" s="11" t="str">
        <x:v>Neuroca-Inc/vdm-logistic-solver</x:v>
      </x:c>
      <x:c r="F170" s="11" t="str">
        <x:v>github</x:v>
      </x:c>
      <x:c r="G170" s="11" t="str">
        <x:v>PUBLIC</x:v>
      </x:c>
      <x:c r="H170" s="11" t="str"/>
      <x:c r="I170" s="11" t="str">
        <x:v>https://github.com/Neuroca-Inc/vdm-logistic-solver</x:v>
      </x:c>
      <x:c r="J170" s="11" t="str"/>
      <x:c r="K170" s="11" t="str">
        <x:v>public/reach/public-release-timeline.csv</x:v>
      </x:c>
    </x:row>
    <x:row r="171">
      <x:c r="A171" s="11" t="str">
        <x:v>PUB-0170</x:v>
      </x:c>
      <x:c r="B171" s="11" t="str">
        <x:v>PUBLIC_RELEASE</x:v>
      </x:c>
      <x:c r="C171" s="11" t="str">
        <x:v>2026-08-26</x:v>
      </x:c>
      <x:c r="D171" s="11" t="str">
        <x:v>Gate-certified Counterfactual Echo Gain instrumentation for VDM metriplectic assisted-echo experiments.</x:v>
      </x:c>
      <x:c r="E171" s="11" t="str">
        <x:v>Neuroca-Inc/vdm-ceg-instrument</x:v>
      </x:c>
      <x:c r="F171" s="11" t="str">
        <x:v>github</x:v>
      </x:c>
      <x:c r="G171" s="11" t="str">
        <x:v>PUBLIC</x:v>
      </x:c>
      <x:c r="H171" s="11" t="str"/>
      <x:c r="I171" s="11" t="str">
        <x:v>https://github.com/Neuroca-Inc/vdm-ceg-instrument</x:v>
      </x:c>
      <x:c r="J171" s="11" t="str"/>
      <x:c r="K171" s="11" t="str">
        <x:v>public/reach/public-release-timeline.csv</x:v>
      </x:c>
    </x:row>
    <x:row r="172">
      <x:c r="A172" s="11" t="str">
        <x:v>PUB-0171</x:v>
      </x:c>
      <x:c r="B172" s="11" t="str">
        <x:v>PUBLIC_RELEASE</x:v>
      </x:c>
      <x:c r="C172" s="11" t="str">
        <x:v>2026-08-26</x:v>
      </x:c>
      <x:c r="D172" s="11" t="str">
        <x:v>Lean4 environment for the Void Dynamics Model.</x:v>
      </x:c>
      <x:c r="E172" s="11" t="str">
        <x:v>Neuroca-Inc/Lean4_Environment</x:v>
      </x:c>
      <x:c r="F172" s="11" t="str">
        <x:v>github</x:v>
      </x:c>
      <x:c r="G172" s="11" t="str">
        <x:v>PUBLIC</x:v>
      </x:c>
      <x:c r="H172" s="11" t="str"/>
      <x:c r="I172" s="11" t="str">
        <x:v>https://github.com/Neuroca-Inc/Lean4_Environment</x:v>
      </x:c>
      <x:c r="J172" s="11" t="str"/>
      <x:c r="K172" s="11" t="str">
        <x:v>public/reach/public-release-timeline.csv</x:v>
      </x:c>
    </x:row>
    <x:row r="173">
      <x:c r="A173" s="11" t="str">
        <x:v>PUB-0172</x:v>
      </x:c>
      <x:c r="B173" s="11" t="str">
        <x:v>PUBLIC_RELEASE</x:v>
      </x:c>
      <x:c r="C173" s="11" t="str">
        <x:v>2026-08-26</x:v>
      </x:c>
      <x:c r="D173" s="11" t="str">
        <x:v>Lightweight Linux CLI for running arbitrary commands on demand or on a schedule while preserving each execution as a tim</x:v>
      </x:c>
      <x:c r="E173" s="11" t="str">
        <x:v>Neuroca-Inc/ephemeris</x:v>
      </x:c>
      <x:c r="F173" s="11" t="str">
        <x:v>github</x:v>
      </x:c>
      <x:c r="G173" s="11" t="str">
        <x:v>PUBLIC</x:v>
      </x:c>
      <x:c r="H173" s="11" t="str"/>
      <x:c r="I173" s="11" t="str">
        <x:v>https://github.com/Neuroca-Inc/ephemeris</x:v>
      </x:c>
      <x:c r="J173" s="11" t="str"/>
      <x:c r="K173" s="11" t="str">
        <x:v>public/reach/public-release-timeline.csv</x:v>
      </x:c>
    </x:row>
    <x:row r="174">
      <x:c r="A174" s="11" t="str">
        <x:v>PUB-0173</x:v>
      </x:c>
      <x:c r="B174" s="11" t="str">
        <x:v>PUBLIC_RELEASE</x:v>
      </x:c>
      <x:c r="C174" s="11" t="str">
        <x:v>2026-08-26</x:v>
      </x:c>
      <x:c r="D174" s="11" t="str">
        <x:v>Neuroca provenance tooling for reproducible research packages, integrity manifests, publication metadata, and independen</x:v>
      </x:c>
      <x:c r="E174" s="11" t="str">
        <x:v>Neuroca-Inc/vdm-provenance-helper</x:v>
      </x:c>
      <x:c r="F174" s="11" t="str">
        <x:v>github</x:v>
      </x:c>
      <x:c r="G174" s="11" t="str">
        <x:v>PUBLIC</x:v>
      </x:c>
      <x:c r="H174" s="11" t="str"/>
      <x:c r="I174" s="11" t="str">
        <x:v>https://github.com/Neuroca-Inc/vdm-provenance-helper</x:v>
      </x:c>
      <x:c r="J174" s="11" t="str"/>
      <x:c r="K174" s="11" t="str">
        <x:v>public/reach/public-release-timeline.csv</x:v>
      </x:c>
    </x:row>
    <x:row r="175">
      <x:c r="A175" s="11" t="str">
        <x:v>PUB-0174</x:v>
      </x:c>
      <x:c r="B175" s="11" t="str">
        <x:v>PUBLIC_RELEASE</x:v>
      </x:c>
      <x:c r="C175" s="11" t="str">
        <x:v>2026-08-26</x:v>
      </x:c>
      <x:c r="D175" s="11" t="str">
        <x:v>Phase Calculus world simulation engine for physics, video games, AI models, operating systems, robotics, and more.</x:v>
      </x:c>
      <x:c r="E175" s="11" t="str">
        <x:v>Neuroca-Inc/cortex-engine</x:v>
      </x:c>
      <x:c r="F175" s="11" t="str">
        <x:v>github</x:v>
      </x:c>
      <x:c r="G175" s="11" t="str">
        <x:v>PUBLIC</x:v>
      </x:c>
      <x:c r="H175" s="11" t="str"/>
      <x:c r="I175" s="11" t="str">
        <x:v>https://github.com/Neuroca-Inc/cortex-engine</x:v>
      </x:c>
      <x:c r="J175" s="11" t="str"/>
      <x:c r="K175" s="11" t="str">
        <x:v>public/reach/public-release-timeline.csv</x:v>
      </x:c>
    </x:row>
    <x:row r="176">
      <x:c r="A176" s="11" t="str">
        <x:v>PUB-0175</x:v>
      </x:c>
      <x:c r="B176" s="11" t="str">
        <x:v>PUBLIC_RELEASE</x:v>
      </x:c>
      <x:c r="C176" s="11" t="str">
        <x:v>2026-08-26</x:v>
      </x:c>
      <x:c r="D176" s="11" t="str">
        <x:v>Research-derived mathematics and scientific computing tools from Neuroca, including numerical methods, exact algebra, dy</x:v>
      </x:c>
      <x:c r="E176" s="11" t="str">
        <x:v>Neuroca-Inc/voidkit</x:v>
      </x:c>
      <x:c r="F176" s="11" t="str">
        <x:v>github</x:v>
      </x:c>
      <x:c r="G176" s="11" t="str">
        <x:v>PUBLIC</x:v>
      </x:c>
      <x:c r="H176" s="11" t="str"/>
      <x:c r="I176" s="11" t="str">
        <x:v>https://github.com/Neuroca-Inc/voidkit</x:v>
      </x:c>
      <x:c r="J176" s="11" t="str"/>
      <x:c r="K176" s="11" t="str">
        <x:v>public/reach/public-release-timeline.csv</x:v>
      </x:c>
    </x:row>
    <x:row r="177">
      <x:c r="A177" s="11" t="str">
        <x:v>PUB-0176</x:v>
      </x:c>
      <x:c r="B177" s="11" t="str">
        <x:v>PUBLIC_RELEASE</x:v>
      </x:c>
      <x:c r="C177" s="11" t="str">
        <x:v>2026-08-26</x:v>
      </x:c>
      <x:c r="D177" s="11" t="str">
        <x:v>Counterfactual Echo Gain (CEG): Future-Aware Metriplectic Assistance Yields Gate-Certified Echo Improvement</x:v>
      </x:c>
      <x:c r="E177" s="11" t="str">
        <x:v>10.5281/zenodo.22103830</x:v>
      </x:c>
      <x:c r="F177" s="11" t="str">
        <x:v>zenodo</x:v>
      </x:c>
      <x:c r="G177" s="11" t="str">
        <x:v>PUBLIC</x:v>
      </x:c>
      <x:c r="H177" s="11" t="str"/>
      <x:c r="I177" s="11" t="str">
        <x:v>https://zenodo.org/records/22103830</x:v>
      </x:c>
      <x:c r="J177" s="11" t="str"/>
      <x:c r="K177" s="11" t="str">
        <x:v>public/reach/public-release-timeline.csv</x:v>
      </x:c>
    </x:row>
    <x:row r="178">
      <x:c r="A178" s="11" t="str">
        <x:v>PUB-0177</x:v>
      </x:c>
      <x:c r="B178" s="11" t="str">
        <x:v>PUBLIC_RELEASE</x:v>
      </x:c>
      <x:c r="C178" s="11" t="str">
        <x:v>2026-08-28</x:v>
      </x:c>
      <x:c r="D178" s="11" t="str">
        <x:v>Excitable-neuron path retrieval: beam search over a graph where node score is similarity plus excitation plus novelty mi</x:v>
      </x:c>
      <x:c r="E178" s="11" t="str">
        <x:v>Neuroca-Inc/axiter</x:v>
      </x:c>
      <x:c r="F178" s="11" t="str">
        <x:v>github</x:v>
      </x:c>
      <x:c r="G178" s="11" t="str">
        <x:v>PUBLIC</x:v>
      </x:c>
      <x:c r="H178" s="11" t="str"/>
      <x:c r="I178" s="11" t="str">
        <x:v>https://github.com/Neuroca-Inc/axiter</x:v>
      </x:c>
      <x:c r="J178" s="11" t="str"/>
      <x:c r="K178" s="11" t="str">
        <x:v>public/reach/public-release-timeline.csv</x:v>
      </x:c>
    </x:row>
    <x:row r="179">
      <x:c r="A179" s="11" t="str">
        <x:v>PUB-0178</x:v>
      </x:c>
      <x:c r="B179" s="11" t="str">
        <x:v>PUBLIC_RELEASE</x:v>
      </x:c>
      <x:c r="C179" s="11" t="str">
        <x:v>2026-08-28</x:v>
      </x:c>
      <x:c r="D179" s="11" t="str">
        <x:v>One-command distribution snapshot across Zenodo, Hugging Face and GitHub. Separates unique from raw counts so you can se</x:v>
      </x:c>
      <x:c r="E179" s="11" t="str">
        <x:v>Neuroca-Inc/reach</x:v>
      </x:c>
      <x:c r="F179" s="11" t="str">
        <x:v>github</x:v>
      </x:c>
      <x:c r="G179" s="11" t="str">
        <x:v>PUBLIC</x:v>
      </x:c>
      <x:c r="H179" s="11" t="str"/>
      <x:c r="I179" s="11" t="str">
        <x:v>https://github.com/Neuroca-Inc/reach</x:v>
      </x:c>
      <x:c r="J179" s="11" t="str"/>
      <x:c r="K179" s="11" t="str">
        <x:v>public/reach/public-release-timeline.csv</x:v>
      </x:c>
    </x:row>
    <x:row r="180">
      <x:c r="A180" s="11" t="str">
        <x:v>PUB-0179</x:v>
      </x:c>
      <x:c r="B180" s="11" t="str">
        <x:v>PUBLIC_RELEASE</x:v>
      </x:c>
      <x:c r="C180" s="11" t="str">
        <x:v>2026-08-28</x:v>
      </x:c>
      <x:c r="D180" s="11" t="str">
        <x:v>Portable offline Rust build and validation kits for AI agents, disconnected environments, and reproducible development.</x:v>
      </x:c>
      <x:c r="E180" s="11" t="str">
        <x:v>Neuroca-Inc/rok</x:v>
      </x:c>
      <x:c r="F180" s="11" t="str">
        <x:v>github</x:v>
      </x:c>
      <x:c r="G180" s="11" t="str">
        <x:v>PUBLIC</x:v>
      </x:c>
      <x:c r="H180" s="11" t="str"/>
      <x:c r="I180" s="11" t="str">
        <x:v>https://github.com/Neuroca-Inc/rok</x:v>
      </x:c>
      <x:c r="J180" s="11" t="str"/>
      <x:c r="K180" s="11" t="str">
        <x:v>public/reach/public-release-timeline.csv</x:v>
      </x:c>
    </x:row>
    <x:row r="181">
      <x:c r="A181" s="11" t="str">
        <x:v>PUB-0180</x:v>
      </x:c>
      <x:c r="B181" s="11" t="str">
        <x:v>PUBLIC_RELEASE</x:v>
      </x:c>
      <x:c r="C181" s="11" t="str">
        <x:v>2026-08-28</x:v>
      </x:c>
      <x:c r="D181" s="11" t="str">
        <x:v>Read-only repository miner that builds a corpus of excerpts. Extracts reusable prompts, instructions, personas, skills, </x:v>
      </x:c>
      <x:c r="E181" s="11" t="str">
        <x:v>Neuroca-Inc/corpex</x:v>
      </x:c>
      <x:c r="F181" s="11" t="str">
        <x:v>github</x:v>
      </x:c>
      <x:c r="G181" s="11" t="str">
        <x:v>PUBLIC</x:v>
      </x:c>
      <x:c r="H181" s="11" t="str"/>
      <x:c r="I181" s="11" t="str">
        <x:v>https://github.com/Neuroca-Inc/corpex</x:v>
      </x:c>
      <x:c r="J181" s="11" t="str"/>
      <x:c r="K181" s="11" t="str">
        <x:v>public/reach/public-release-timeline.csv</x:v>
      </x:c>
    </x:row>
    <x:row r="182">
      <x:c r="A182" s="11" t="str">
        <x:v>PUB-0181</x:v>
      </x:c>
      <x:c r="B182" s="11" t="str">
        <x:v>PUBLIC_RELEASE</x:v>
      </x:c>
      <x:c r="C182" s="11" t="str">
        <x:v>2026-08-29</x:v>
      </x:c>
      <x:c r="D182" s="11" t="str">
        <x:v>Reclaim ChatGPT history directly, import official exports, keep the archive incrementally current, search it lexically o</x:v>
      </x:c>
      <x:c r="E182" s="11" t="str">
        <x:v>Neuroca-Inc/Chronica</x:v>
      </x:c>
      <x:c r="F182" s="11" t="str">
        <x:v>github</x:v>
      </x:c>
      <x:c r="G182" s="11" t="str">
        <x:v>PUBLIC</x:v>
      </x:c>
      <x:c r="H182" s="11" t="str"/>
      <x:c r="I182" s="11" t="str">
        <x:v>https://github.com/Neuroca-Inc/Chronica</x:v>
      </x:c>
      <x:c r="J182" s="11" t="str"/>
      <x:c r="K182" s="11" t="str">
        <x:v>public/reach/public-release-timeline.csv</x:v>
      </x:c>
    </x:row>
    <x:row r="183">
      <x:c r="A183" s="11" t="str">
        <x:v>PUB-0182</x:v>
      </x:c>
      <x:c r="B183" s="11" t="str">
        <x:v>PUBLIC_RELEASE</x:v>
      </x:c>
      <x:c r="C183" s="11" t="str">
        <x:v>2026-08-29</x:v>
      </x:c>
      <x:c r="D183" s="11" t="str">
        <x:v>The clerk that records and authenticates a tree. Create immutable, machine-verifiable manifests of any repository or dir</x:v>
      </x:c>
      <x:c r="E183" s="11" t="str">
        <x:v>Neuroca-Inc/notarius</x:v>
      </x:c>
      <x:c r="F183" s="11" t="str">
        <x:v>github</x:v>
      </x:c>
      <x:c r="G183" s="11" t="str">
        <x:v>PUBLIC</x:v>
      </x:c>
      <x:c r="H183" s="11" t="str"/>
      <x:c r="I183" s="11" t="str">
        <x:v>https://github.com/Neuroca-Inc/notarius</x:v>
      </x:c>
      <x:c r="J183" s="11" t="str"/>
      <x:c r="K183" s="11" t="str">
        <x:v>public/reach/public-release-timeline.csv</x:v>
      </x:c>
    </x:row>
    <x:row r="184">
      <x:c r="A184" s="11" t="str">
        <x:v>PUB-0183</x:v>
      </x:c>
      <x:c r="B184" s="11" t="str">
        <x:v>PUBLIC_RELEASE</x:v>
      </x:c>
      <x:c r="C184" s="11" t="str">
        <x:v>2026-08-31</x:v>
      </x:c>
      <x:c r="D184" s="11" t="str">
        <x:v>Cellular Sheaf Theory for the Orthad A Proposal for Local-to-Global Consistency, Reconstruction, and Seal Obstructions</x:v>
      </x:c>
      <x:c r="E184" s="11" t="str">
        <x:v>10.5281/zenodo.22210015</x:v>
      </x:c>
      <x:c r="F184" s="11" t="str">
        <x:v>zenodo</x:v>
      </x:c>
      <x:c r="G184" s="11" t="str">
        <x:v>PUBLIC</x:v>
      </x:c>
      <x:c r="H184" s="11" t="str"/>
      <x:c r="I184" s="11" t="str">
        <x:v>https://zenodo.org/records/22210015</x:v>
      </x:c>
      <x:c r="J184" s="11" t="str"/>
      <x:c r="K184" s="11" t="str">
        <x:v>public/reach/public-release-timeline.csv</x:v>
      </x:c>
    </x:row>
    <x:row r="185">
      <x:c r="A185" s="11" t="str">
        <x:v>PUB-0184</x:v>
      </x:c>
      <x:c r="B185" s="11" t="str">
        <x:v>PUBLIC_RELEASE</x:v>
      </x:c>
      <x:c r="C185" s="11" t="str">
        <x:v>2026-08-31</x:v>
      </x:c>
      <x:c r="D185" s="11" t="str">
        <x:v>Mapping the Collatz Conjecture with Phase Calculus A Proposal for Inverse Words, Base-L Carries, and Orthad Realization</x:v>
      </x:c>
      <x:c r="E185" s="11" t="str">
        <x:v>10.5281/zenodo.22209981</x:v>
      </x:c>
      <x:c r="F185" s="11" t="str">
        <x:v>zenodo</x:v>
      </x:c>
      <x:c r="G185" s="11" t="str">
        <x:v>PUBLIC</x:v>
      </x:c>
      <x:c r="H185" s="11" t="str"/>
      <x:c r="I185" s="11" t="str">
        <x:v>https://zenodo.org/records/22209981</x:v>
      </x:c>
      <x:c r="J185" s="11" t="str"/>
      <x:c r="K185" s="11" t="str">
        <x:v>public/reach/public-release-timeline.csv</x:v>
      </x:c>
    </x:row>
    <x:row r="186">
      <x:c r="A186" s="11" t="str">
        <x:v>PUB-0185</x:v>
      </x:c>
      <x:c r="B186" s="11" t="str">
        <x:v>PUBLIC_RELEASE</x:v>
      </x:c>
      <x:c r="C186" s="11" t="str">
        <x:v>2026-08-31</x:v>
      </x:c>
      <x:c r="D186" s="11" t="str">
        <x:v>Phase Calculus Rosetta Stone</x:v>
      </x:c>
      <x:c r="E186" s="11" t="str">
        <x:v>10.5281/zenodo.22210019</x:v>
      </x:c>
      <x:c r="F186" s="11" t="str">
        <x:v>zenodo</x:v>
      </x:c>
      <x:c r="G186" s="11" t="str">
        <x:v>PUBLIC</x:v>
      </x:c>
      <x:c r="H186" s="11" t="str"/>
      <x:c r="I186" s="11" t="str">
        <x:v>https://zenodo.org/records/22210019</x:v>
      </x:c>
      <x:c r="J186" s="11" t="str"/>
      <x:c r="K186" s="11" t="str">
        <x:v>public/reach/public-release-timeline.csv</x:v>
      </x:c>
    </x:row>
    <x:row r="187">
      <x:c r="A187" s="11" t="str">
        <x:v>PUB-0186</x:v>
      </x:c>
      <x:c r="B187" s="11" t="str">
        <x:v>PUBLIC_RELEASE</x:v>
      </x:c>
      <x:c r="C187" s="11" t="str">
        <x:v>2026-08-31</x:v>
      </x:c>
      <x:c r="D187" s="11" t="str">
        <x:v>Proposal for an Orthad Derivation of the Quarter-Twisted Conjugate-Edge Kernel</x:v>
      </x:c>
      <x:c r="E187" s="11" t="str">
        <x:v>10.5281/zenodo.22209950</x:v>
      </x:c>
      <x:c r="F187" s="11" t="str">
        <x:v>zenodo</x:v>
      </x:c>
      <x:c r="G187" s="11" t="str">
        <x:v>PUBLIC</x:v>
      </x:c>
      <x:c r="H187" s="11" t="str"/>
      <x:c r="I187" s="11" t="str">
        <x:v>https://zenodo.org/records/22209950</x:v>
      </x:c>
      <x:c r="J187" s="11" t="str"/>
      <x:c r="K187" s="11" t="str">
        <x:v>public/reach/public-release-timeline.csv</x:v>
      </x:c>
    </x:row>
    <x:row r="188">
      <x:c r="A188" s="11" t="str">
        <x:v>PUB-0187</x:v>
      </x:c>
      <x:c r="B188" s="11" t="str">
        <x:v>PUBLIC_RELEASE</x:v>
      </x:c>
      <x:c r="C188" s="11" t="str">
        <x:v>2026-08-31</x:v>
      </x:c>
      <x:c r="D188" s="11" t="str">
        <x:v>Proposed Future Research in Phase Calculus</x:v>
      </x:c>
      <x:c r="E188" s="11" t="str">
        <x:v>10.5281/zenodo.22209910</x:v>
      </x:c>
      <x:c r="F188" s="11" t="str">
        <x:v>zenodo</x:v>
      </x:c>
      <x:c r="G188" s="11" t="str">
        <x:v>PUBLIC</x:v>
      </x:c>
      <x:c r="H188" s="11" t="str"/>
      <x:c r="I188" s="11" t="str">
        <x:v>https://zenodo.org/records/22209910</x:v>
      </x:c>
      <x:c r="J188" s="11" t="str"/>
      <x:c r="K188" s="11" t="str">
        <x:v>public/reach/public-release-timeline.csv</x:v>
      </x:c>
    </x:row>
    <x:row r="189">
      <x:c r="A189" s="11" t="str">
        <x:v>PUB-0188</x:v>
      </x:c>
      <x:c r="B189" s="11" t="str">
        <x:v>PUBLIC_RELEASE</x:v>
      </x:c>
      <x:c r="C189" s="11" t="str">
        <x:v>2026-09-04</x:v>
      </x:c>
      <x:c r="D189" s="11" t="str">
        <x:v>Arithmetic and Calculus on Base-L Lifted-Word Spaces</x:v>
      </x:c>
      <x:c r="E189" s="11" t="str">
        <x:v>10.5281/zenodo.22289025</x:v>
      </x:c>
      <x:c r="F189" s="11" t="str">
        <x:v>zenodo</x:v>
      </x:c>
      <x:c r="G189" s="11" t="str">
        <x:v>PUBLIC</x:v>
      </x:c>
      <x:c r="H189" s="11" t="str"/>
      <x:c r="I189" s="11" t="str">
        <x:v>https://zenodo.org/records/22289025</x:v>
      </x:c>
      <x:c r="J189" s="11" t="str"/>
      <x:c r="K189" s="11" t="str">
        <x:v>public/reach/public-release-timeline.csv</x:v>
      </x:c>
    </x:row>
    <x:row r="190">
      <x:c r="A190" s="11" t="str">
        <x:v>VDM-G001</x:v>
      </x:c>
      <x:c r="B190" s="11" t="str">
        <x:v>GIT_COMMIT</x:v>
      </x:c>
      <x:c r="C190" s="11" t="str">
        <x:v>2025-08-10</x:v>
      </x:c>
      <x:c r="D190" s="11" t="str">
        <x:v>first commit</x:v>
      </x:c>
      <x:c r="E190" s="11" t="str">
        <x:v>30b20e205228160d085a0091936b28a52423126b</x:v>
      </x:c>
      <x:c r="F190" s="11" t="str">
        <x:v>VDM</x:v>
      </x:c>
      <x:c r="G190" s="11" t="str">
        <x:v>BASELINE</x:v>
      </x:c>
      <x:c r="H190" s="11" t="str">
        <x:v>30b20e205228160d085a0091936b28a52423126b</x:v>
      </x:c>
      <x:c r="I190" s="11" t="str">
        <x:v>https://github.com/Neuroca-Inc/VDM/commit/30b20e205228160d085a0091936b28a52423126b</x:v>
      </x:c>
      <x:c r="J190" s="11" t="str"/>
      <x:c r="K190" s="11" t="str">
        <x:v>git-history/git-milestones.csv</x:v>
      </x:c>
    </x:row>
    <x:row r="191">
      <x:c r="A191" s="11" t="str">
        <x:v>VDM-G002</x:v>
      </x:c>
      <x:c r="B191" s="11" t="str">
        <x:v>GIT_COMMIT</x:v>
      </x:c>
      <x:c r="C191" s="11" t="str">
        <x:v>2025-10-31</x:v>
      </x:c>
      <x:c r="D191" s="11" t="str">
        <x:v>Add A8 Candidate axiom for Lietz Infinity Resolution</x:v>
      </x:c>
      <x:c r="E191" s="11" t="str">
        <x:v>3d315e7bbabc0a2d1c2afa4ccc5a72d26c836559</x:v>
      </x:c>
      <x:c r="F191" s="11" t="str">
        <x:v>VDM</x:v>
      </x:c>
      <x:c r="G191" s="11" t="str">
        <x:v>HYPOTHESIS</x:v>
      </x:c>
      <x:c r="H191" s="11" t="str">
        <x:v>3d315e7bbabc0a2d1c2afa4ccc5a72d26c836559</x:v>
      </x:c>
      <x:c r="I191" s="11" t="str">
        <x:v>https://github.com/Neuroca-Inc/VDM/commit/3d315e7bbabc0a2d1c2afa4ccc5a72d26c836559</x:v>
      </x:c>
      <x:c r="J191" s="11" t="str"/>
      <x:c r="K191" s="11" t="str">
        <x:v>git-history/git-milestones.csv</x:v>
      </x:c>
    </x:row>
    <x:row r="192">
      <x:c r="A192" s="11" t="str">
        <x:v>VDM-G003</x:v>
      </x:c>
      <x:c r="B192" s="11" t="str">
        <x:v>GIT_COMMIT</x:v>
      </x:c>
      <x:c r="C192" s="11" t="str">
        <x:v>2025-11-28</x:v>
      </x:c>
      <x:c r="D192" s="11" t="str">
        <x:v>Add CF10 program documentation for lattice hydrodynamics</x:v>
      </x:c>
      <x:c r="E192" s="11" t="str">
        <x:v>8210882c7838507b62e80d0e355e9617db1bd6d6</x:v>
      </x:c>
      <x:c r="F192" s="11" t="str">
        <x:v>VDM</x:v>
      </x:c>
      <x:c r="G192" s="11" t="str">
        <x:v>PROGRAM</x:v>
      </x:c>
      <x:c r="H192" s="11" t="str">
        <x:v>8210882c7838507b62e80d0e355e9617db1bd6d6</x:v>
      </x:c>
      <x:c r="I192" s="11" t="str">
        <x:v>https://github.com/Neuroca-Inc/VDM/commit/8210882c7838507b62e80d0e355e9617db1bd6d6</x:v>
      </x:c>
      <x:c r="J192" s="11" t="str">
        <x:v>PC-0016</x:v>
      </x:c>
      <x:c r="K192" s="11" t="str">
        <x:v>git-history/git-milestones.csv</x:v>
      </x:c>
    </x:row>
    <x:row r="193">
      <x:c r="A193" s="11" t="str">
        <x:v>VDM-G004</x:v>
      </x:c>
      <x:c r="B193" s="11" t="str">
        <x:v>GIT_COMMIT</x:v>
      </x:c>
      <x:c r="C193" s="11" t="str">
        <x:v>2025-11-30</x:v>
      </x:c>
      <x:c r="D193" s="11" t="str">
        <x:v>Updated CI to include both provenance index populator and hash updater</x:v>
      </x:c>
      <x:c r="E193" s="11" t="str">
        <x:v>61ef199882b71494adad8a0e2e640a88b9c37e9a</x:v>
      </x:c>
      <x:c r="F193" s="11" t="str">
        <x:v>VDM</x:v>
      </x:c>
      <x:c r="G193" s="11" t="str">
        <x:v>PROVENANCE-INFRA</x:v>
      </x:c>
      <x:c r="H193" s="11" t="str">
        <x:v>61ef199882b71494adad8a0e2e640a88b9c37e9a</x:v>
      </x:c>
      <x:c r="I193" s="11" t="str">
        <x:v>https://github.com/Neuroca-Inc/VDM/commit/61ef199882b71494adad8a0e2e640a88b9c37e9a</x:v>
      </x:c>
      <x:c r="J193" s="11" t="str"/>
      <x:c r="K193" s="11" t="str">
        <x:v>git-history/git-milestones.csv</x:v>
      </x:c>
    </x:row>
    <x:row r="194">
      <x:c r="A194" s="11" t="str">
        <x:v>VDM-G005</x:v>
      </x:c>
      <x:c r="B194" s="11" t="str">
        <x:v>GIT_COMMIT</x:v>
      </x:c>
      <x:c r="C194" s="11" t="str">
        <x:v>2026-03-01</x:v>
      </x:c>
      <x:c r="D194" s="11" t="str">
        <x:v>Update DIRECTIVE_Runtime_Physics_Migration_v8</x:v>
      </x:c>
      <x:c r="E194" s="11" t="str">
        <x:v>7fde0b0c60c8d8e629335e30b7eeb0f61e0fb678</x:v>
      </x:c>
      <x:c r="F194" s="11" t="str">
        <x:v>VDM</x:v>
      </x:c>
      <x:c r="G194" s="11" t="str">
        <x:v>MIGRATION</x:v>
      </x:c>
      <x:c r="H194" s="11" t="str">
        <x:v>7fde0b0c60c8d8e629335e30b7eeb0f61e0fb678</x:v>
      </x:c>
      <x:c r="I194" s="11" t="str">
        <x:v>https://github.com/Neuroca-Inc/VDM/commit/7fde0b0c60c8d8e629335e30b7eeb0f61e0fb678</x:v>
      </x:c>
      <x:c r="J194" s="11" t="str"/>
      <x:c r="K194" s="11" t="str">
        <x:v>git-history/git-milestones.csv</x:v>
      </x:c>
    </x:row>
    <x:row r="195">
      <x:c r="A195" s="11" t="str">
        <x:v>VDM-G006</x:v>
      </x:c>
      <x:c r="B195" s="11" t="str">
        <x:v>GIT_COMMIT</x:v>
      </x:c>
      <x:c r="C195" s="11" t="str">
        <x:v>2026-03-13</x:v>
      </x:c>
      <x:c r="D195" s="11" t="str">
        <x:v>Add Primitive Bifurcation Hypothesis (H000) details</x:v>
      </x:c>
      <x:c r="E195" s="11" t="str">
        <x:v>501b29ef20b2b4b120744e0957539d6af5570441</x:v>
      </x:c>
      <x:c r="F195" s="11" t="str">
        <x:v>VDM</x:v>
      </x:c>
      <x:c r="G195" s="11" t="str">
        <x:v>HYPOTHESIS</x:v>
      </x:c>
      <x:c r="H195" s="11" t="str">
        <x:v>501b29ef20b2b4b120744e0957539d6af5570441</x:v>
      </x:c>
      <x:c r="I195" s="11" t="str">
        <x:v>https://github.com/Neuroca-Inc/VDM/commit/501b29ef20b2b4b120744e0957539d6af5570441</x:v>
      </x:c>
      <x:c r="J195" s="11" t="str">
        <x:v>PC-0001</x:v>
      </x:c>
      <x:c r="K195" s="11" t="str">
        <x:v>git-history/git-milestones.csv</x:v>
      </x:c>
    </x:row>
    <x:row r="196">
      <x:c r="A196" s="11" t="str">
        <x:v>VDM-G007</x:v>
      </x:c>
      <x:c r="B196" s="11" t="str">
        <x:v>GIT_COMMIT</x:v>
      </x:c>
      <x:c r="C196" s="11" t="str">
        <x:v>2026-03-14</x:v>
      </x:c>
      <x:c r="D196" s="11" t="str">
        <x:v>Update CF000_Primitive_Distinguishability_and_the_Origin_of_Differentiability.md</x:v>
      </x:c>
      <x:c r="E196" s="11" t="str">
        <x:v>47b8eb164b07ae116b2174fa0a46091764e849eb</x:v>
      </x:c>
      <x:c r="F196" s="11" t="str">
        <x:v>VDM</x:v>
      </x:c>
      <x:c r="G196" s="11" t="str">
        <x:v>FOUNDATION</x:v>
      </x:c>
      <x:c r="H196" s="11" t="str">
        <x:v>47b8eb164b07ae116b2174fa0a46091764e849eb</x:v>
      </x:c>
      <x:c r="I196" s="11" t="str">
        <x:v>https://github.com/Neuroca-Inc/VDM/commit/47b8eb164b07ae116b2174fa0a46091764e849eb</x:v>
      </x:c>
      <x:c r="J196" s="11" t="str">
        <x:v>PC-0001</x:v>
      </x:c>
      <x:c r="K196" s="11" t="str">
        <x:v>git-history/git-milestones.csv</x:v>
      </x:c>
    </x:row>
    <x:row r="197">
      <x:c r="A197" s="11" t="str">
        <x:v>VDM-G008</x:v>
      </x:c>
      <x:c r="B197" s="11" t="str">
        <x:v>GIT_COMMIT</x:v>
      </x:c>
      <x:c r="C197" s="11" t="str">
        <x:v>2026-03-20</x:v>
      </x:c>
      <x:c r="D197" s="11" t="str">
        <x:v>Create VDM_Canon_Ledger_DRAFT.md</x:v>
      </x:c>
      <x:c r="E197" s="11" t="str">
        <x:v>a1b6010a98c66fe4f610eb6fbedf90ef58ce5edf</x:v>
      </x:c>
      <x:c r="F197" s="11" t="str">
        <x:v>VDM</x:v>
      </x:c>
      <x:c r="G197" s="11" t="str">
        <x:v>CANON</x:v>
      </x:c>
      <x:c r="H197" s="11" t="str">
        <x:v>a1b6010a98c66fe4f610eb6fbedf90ef58ce5edf</x:v>
      </x:c>
      <x:c r="I197" s="11" t="str">
        <x:v>https://github.com/Neuroca-Inc/VDM/commit/a1b6010a98c66fe4f610eb6fbedf90ef58ce5edf</x:v>
      </x:c>
      <x:c r="J197" s="11" t="str">
        <x:v>PC-0001</x:v>
      </x:c>
      <x:c r="K197" s="11" t="str">
        <x:v>git-history/git-milestones.csv</x:v>
      </x:c>
    </x:row>
    <x:row r="198">
      <x:c r="A198" s="11" t="str">
        <x:v>VDM-G009</x:v>
      </x:c>
      <x:c r="B198" s="11" t="str">
        <x:v>GIT_COMMIT</x:v>
      </x:c>
      <x:c r="C198" s="11" t="str">
        <x:v>2026-03-21</x:v>
      </x:c>
      <x:c r="D198" s="11" t="str">
        <x:v>Create A_minus_one_Primitive_Kernel.md</x:v>
      </x:c>
      <x:c r="E198" s="11" t="str">
        <x:v>3268e338fa207af6f9205e14d019be7333697237</x:v>
      </x:c>
      <x:c r="F198" s="11" t="str">
        <x:v>VDM</x:v>
      </x:c>
      <x:c r="G198" s="11" t="str">
        <x:v>FOUNDATION</x:v>
      </x:c>
      <x:c r="H198" s="11" t="str">
        <x:v>3268e338fa207af6f9205e14d019be7333697237</x:v>
      </x:c>
      <x:c r="I198" s="11" t="str">
        <x:v>https://github.com/Neuroca-Inc/VDM/commit/3268e338fa207af6f9205e14d019be7333697237</x:v>
      </x:c>
      <x:c r="J198" s="11" t="str">
        <x:v>PC-0001</x:v>
      </x:c>
      <x:c r="K198" s="11" t="str">
        <x:v>git-history/git-milestones.csv</x:v>
      </x:c>
    </x:row>
    <x:row r="199">
      <x:c r="A199" s="11" t="str">
        <x:v>VDM-G010</x:v>
      </x:c>
      <x:c r="B199" s="11" t="str">
        <x:v>GIT_COMMIT</x:v>
      </x:c>
      <x:c r="C199" s="11" t="str">
        <x:v>2026-03-22</x:v>
      </x:c>
      <x:c r="D199" s="11" t="str">
        <x:v>Update VDM_Assembly_Runtime_Specification.md</x:v>
      </x:c>
      <x:c r="E199" s="11" t="str">
        <x:v>c648922a3a1a63c99af1aee21f918ca52d00d8c2</x:v>
      </x:c>
      <x:c r="F199" s="11" t="str">
        <x:v>VDM</x:v>
      </x:c>
      <x:c r="G199" s="11" t="str">
        <x:v>IMPLEMENTATION</x:v>
      </x:c>
      <x:c r="H199" s="11" t="str">
        <x:v>c648922a3a1a63c99af1aee21f918ca52d00d8c2</x:v>
      </x:c>
      <x:c r="I199" s="11" t="str">
        <x:v>https://github.com/Neuroca-Inc/VDM/commit/c648922a3a1a63c99af1aee21f918ca52d00d8c2</x:v>
      </x:c>
      <x:c r="J199" s="11" t="str"/>
      <x:c r="K199" s="11" t="str">
        <x:v>git-history/git-milestones.csv</x:v>
      </x:c>
    </x:row>
    <x:row r="200">
      <x:c r="A200" s="11" t="str">
        <x:v>VDM-G011</x:v>
      </x:c>
      <x:c r="B200" s="11" t="str">
        <x:v>GIT_COMMIT</x:v>
      </x:c>
      <x:c r="C200" s="11" t="str">
        <x:v>2026-04-13</x:v>
      </x:c>
      <x:c r="D200" s="11" t="str">
        <x:v>Added several CF notebooks, and updated vdm rt v9 with raw logs and analysis</x:v>
      </x:c>
      <x:c r="E200" s="11" t="str">
        <x:v>61562ec6ea416272c237411cb761dea24f116689</x:v>
      </x:c>
      <x:c r="F200" s="11" t="str">
        <x:v>VDM</x:v>
      </x:c>
      <x:c r="G200" s="11" t="str">
        <x:v>VERIFICATION</x:v>
      </x:c>
      <x:c r="H200" s="11" t="str">
        <x:v>61562ec6ea416272c237411cb761dea24f116689</x:v>
      </x:c>
      <x:c r="I200" s="11" t="str">
        <x:v>https://github.com/Neuroca-Inc/VDM/commit/61562ec6ea416272c237411cb761dea24f116689</x:v>
      </x:c>
      <x:c r="J200" s="11" t="str"/>
      <x:c r="K200" s="11" t="str">
        <x:v>git-history/git-milestones.csv</x:v>
      </x:c>
    </x:row>
    <x:row r="201">
      <x:c r="A201" s="11" t="str">
        <x:v>VDM-G012</x:v>
      </x:c>
      <x:c r="B201" s="11" t="str">
        <x:v>GIT_COMMIT</x:v>
      </x:c>
      <x:c r="C201" s="11" t="str">
        <x:v>2026-04-24</x:v>
      </x:c>
      <x:c r="D201" s="11" t="str">
        <x:v>Update README with Lean4 repository information</x:v>
      </x:c>
      <x:c r="E201" s="11" t="str">
        <x:v>04764ed6db0dacb7cafcbb68ebea5ab75220c52a</x:v>
      </x:c>
      <x:c r="F201" s="11" t="str">
        <x:v>VDM</x:v>
      </x:c>
      <x:c r="G201" s="11" t="str">
        <x:v>VERIFICATION-INFRA</x:v>
      </x:c>
      <x:c r="H201" s="11" t="str">
        <x:v>04764ed6db0dacb7cafcbb68ebea5ab75220c52a</x:v>
      </x:c>
      <x:c r="I201" s="11" t="str">
        <x:v>https://github.com/Neuroca-Inc/VDM/commit/04764ed6db0dacb7cafcbb68ebea5ab75220c52a</x:v>
      </x:c>
      <x:c r="J201" s="11" t="str"/>
      <x:c r="K201" s="11" t="str">
        <x:v>git-history/git-milestones.csv</x:v>
      </x:c>
    </x:row>
    <x:row r="202">
      <x:c r="A202" s="11" t="str">
        <x:v>PBL-G001</x:v>
      </x:c>
      <x:c r="B202" s="11" t="str">
        <x:v>GIT_COMMIT</x:v>
      </x:c>
      <x:c r="C202" s="11" t="str">
        <x:v>2026-03-23</x:v>
      </x:c>
      <x:c r="D202" s="11" t="str">
        <x:v>Create origin_operator_discriminator.md</x:v>
      </x:c>
      <x:c r="E202" s="11" t="str">
        <x:v>47b40aa6305632e4a4115efd078f173c90e7ac6a</x:v>
      </x:c>
      <x:c r="F202" s="11" t="str">
        <x:v>primitive_bifurcation_law_VDM</x:v>
      </x:c>
      <x:c r="G202" s="11" t="str">
        <x:v>CORRECTION/EXPERIMENT</x:v>
      </x:c>
      <x:c r="H202" s="11" t="str">
        <x:v>47b40aa6305632e4a4115efd078f173c90e7ac6a</x:v>
      </x:c>
      <x:c r="I202" s="11" t="str">
        <x:v>https://github.com/justinlietz93/primitive_bifurcation_law_VDM/commit/47b40aa6305632e4a4115efd078f173c90e7ac6a</x:v>
      </x:c>
      <x:c r="J202" s="11" t="str">
        <x:v>PC-0001</x:v>
      </x:c>
      <x:c r="K202" s="11" t="str">
        <x:v>git-history/git-milestones.csv</x:v>
      </x:c>
    </x:row>
    <x:row r="203">
      <x:c r="A203" s="11" t="str">
        <x:v>PBL-G002</x:v>
      </x:c>
      <x:c r="B203" s="11" t="str">
        <x:v>GIT_COMMIT</x:v>
      </x:c>
      <x:c r="C203" s="11" t="str">
        <x:v>2026-03-23</x:v>
      </x:c>
      <x:c r="D203" s="11" t="str">
        <x:v>Delete a_minus_1_programmable_reference.md</x:v>
      </x:c>
      <x:c r="E203" s="11" t="str">
        <x:v>723573ac05a817bd5b0b49850347eef176250356</x:v>
      </x:c>
      <x:c r="F203" s="11" t="str">
        <x:v>primitive_bifurcation_law_VDM</x:v>
      </x:c>
      <x:c r="G203" s="11" t="str">
        <x:v>CORRECTION/REJECTION</x:v>
      </x:c>
      <x:c r="H203" s="11" t="str">
        <x:v>723573ac05a817bd5b0b49850347eef176250356</x:v>
      </x:c>
      <x:c r="I203" s="11" t="str">
        <x:v>https://github.com/justinlietz93/primitive_bifurcation_law_VDM/commit/723573ac05a817bd5b0b49850347eef176250356</x:v>
      </x:c>
      <x:c r="J203" s="11" t="str">
        <x:v>PC-0001</x:v>
      </x:c>
      <x:c r="K203" s="11" t="str">
        <x:v>git-history/git-milestones.csv</x:v>
      </x:c>
    </x:row>
    <x:row r="204">
      <x:c r="A204" s="11" t="str">
        <x:v>PBL-G003</x:v>
      </x:c>
      <x:c r="B204" s="11" t="str">
        <x:v>GIT_COMMIT</x:v>
      </x:c>
      <x:c r="C204" s="11" t="str">
        <x:v>2026-03-23</x:v>
      </x:c>
      <x:c r="D204" s="11" t="str">
        <x:v>Update Mathematical and Computational Generative Structures and Formulas - Table 1.csv</x:v>
      </x:c>
      <x:c r="E204" s="11" t="str">
        <x:v>ab558fbba7748a4b2ffb0d6ff2839014a5666fb5</x:v>
      </x:c>
      <x:c r="F204" s="11" t="str">
        <x:v>primitive_bifurcation_law_VDM</x:v>
      </x:c>
      <x:c r="G204" s="11" t="str">
        <x:v>REFERENCE/CANON</x:v>
      </x:c>
      <x:c r="H204" s="11" t="str">
        <x:v>ab558fbba7748a4b2ffb0d6ff2839014a5666fb5</x:v>
      </x:c>
      <x:c r="I204" s="11" t="str">
        <x:v>https://github.com/justinlietz93/primitive_bifurcation_law_VDM/commit/ab558fbba7748a4b2ffb0d6ff2839014a5666fb5</x:v>
      </x:c>
      <x:c r="J204" s="11" t="str">
        <x:v>PC-0001</x:v>
      </x:c>
      <x:c r="K204" s="11" t="str">
        <x:v>git-history/git-milestones.csv</x:v>
      </x:c>
    </x:row>
    <x:row r="205">
      <x:c r="A205" s="11" t="str">
        <x:v>TAO-G001</x:v>
      </x:c>
      <x:c r="B205" s="11" t="str">
        <x:v>GIT_COMMIT</x:v>
      </x:c>
      <x:c r="C205" s="11" t="str">
        <x:v>2026-06-26</x:v>
      </x:c>
      <x:c r="D205" s="11" t="str">
        <x:v>begin phase 5 v8</x:v>
      </x:c>
      <x:c r="E205" s="11" t="str">
        <x:v>b66f45a7081dd1f2eaa96b83ce04a0b06f6a5b4d</x:v>
      </x:c>
      <x:c r="F205" s="11" t="str">
        <x:v>Taoism-Mathematics-Research-Project-Internal</x:v>
      </x:c>
      <x:c r="G205" s="11" t="str">
        <x:v>DERIVATION</x:v>
      </x:c>
      <x:c r="H205" s="11" t="str">
        <x:v>b66f45a7081dd1f2eaa96b83ce04a0b06f6a5b4d</x:v>
      </x:c>
      <x:c r="I205" s="11" t="str">
        <x:v>https://github.com/justinlietz93/Taoism-Mathematics-Research-Project-Internal/commit/b66f45a7081dd1f2eaa96b83ce04a0b06f6a5b4d</x:v>
      </x:c>
      <x:c r="J205" s="11" t="str">
        <x:v>PC-0013</x:v>
      </x:c>
      <x:c r="K205" s="11" t="str">
        <x:v>git-history/git-milestones.csv</x:v>
      </x:c>
    </x:row>
    <x:row r="206">
      <x:c r="A206" s="11" t="str">
        <x:v>TAO-G002</x:v>
      </x:c>
      <x:c r="B206" s="11" t="str">
        <x:v>GIT_COMMIT</x:v>
      </x:c>
      <x:c r="C206" s="11" t="str">
        <x:v>2026-07-08</x:v>
      </x:c>
      <x:c r="D206" s="11" t="str">
        <x:v>Add PHASE 5 CANONICAL LEDGER with comprehensive documentation and status tracking</x:v>
      </x:c>
      <x:c r="E206" s="11" t="str">
        <x:v>7286d670e2c12ab54ff6c6d07c1ebebf7aecd1ab</x:v>
      </x:c>
      <x:c r="F206" s="11" t="str">
        <x:v>Taoism-Mathematics-Research-Project-Internal</x:v>
      </x:c>
      <x:c r="G206" s="11" t="str">
        <x:v>CANON</x:v>
      </x:c>
      <x:c r="H206" s="11" t="str">
        <x:v>7286d670e2c12ab54ff6c6d07c1ebebf7aecd1ab</x:v>
      </x:c>
      <x:c r="I206" s="11" t="str">
        <x:v>https://github.com/justinlietz93/Taoism-Mathematics-Research-Project-Internal/commit/7286d670e2c12ab54ff6c6d07c1ebebf7aecd1ab</x:v>
      </x:c>
      <x:c r="J206" s="11" t="str">
        <x:v>PC-0013</x:v>
      </x:c>
      <x:c r="K206" s="11" t="str">
        <x:v>git-history/git-milestones.csv</x:v>
      </x:c>
    </x:row>
    <x:row r="207">
      <x:c r="A207" s="11" t="str">
        <x:v>TAO-G003</x:v>
      </x:c>
      <x:c r="B207" s="11" t="str">
        <x:v>GIT_COMMIT</x:v>
      </x:c>
      <x:c r="C207" s="11" t="str">
        <x:v>2026-07-09</x:v>
      </x:c>
      <x:c r="D207" s="11" t="str">
        <x:v>Added Phase 5 v8d orthad generated fqm subclass</x:v>
      </x:c>
      <x:c r="E207" s="11" t="str">
        <x:v>676ca6330ceaa09255e28c303697d294185a6d7c</x:v>
      </x:c>
      <x:c r="F207" s="11" t="str">
        <x:v>Taoism-Mathematics-Research-Project-Internal</x:v>
      </x:c>
      <x:c r="G207" s="11" t="str">
        <x:v>ORTHAD</x:v>
      </x:c>
      <x:c r="H207" s="11" t="str">
        <x:v>676ca6330ceaa09255e28c303697d294185a6d7c</x:v>
      </x:c>
      <x:c r="I207" s="11" t="str">
        <x:v>https://github.com/justinlietz93/Taoism-Mathematics-Research-Project-Internal/commit/676ca6330ceaa09255e28c303697d294185a6d7c</x:v>
      </x:c>
      <x:c r="J207" s="11" t="str">
        <x:v>PC-0012;PC-0013</x:v>
      </x:c>
      <x:c r="K207" s="11" t="str">
        <x:v>git-history/git-milestones.csv</x:v>
      </x:c>
    </x:row>
    <x:row r="208">
      <x:c r="A208" s="11" t="str">
        <x:v>TAO-G004</x:v>
      </x:c>
      <x:c r="B208" s="11" t="str">
        <x:v>GIT_COMMIT</x:v>
      </x:c>
      <x:c r="C208" s="11" t="str">
        <x:v>2026-07-10</x:v>
      </x:c>
      <x:c r="D208" s="11" t="str">
        <x:v>Add verification script and update sealed JSON files for Phase 5</x:v>
      </x:c>
      <x:c r="E208" s="11" t="str">
        <x:v>1be580904fb6e66b8cf09bb2415ea9bedda3d9d6</x:v>
      </x:c>
      <x:c r="F208" s="11" t="str">
        <x:v>Taoism-Mathematics-Research-Project-Internal</x:v>
      </x:c>
      <x:c r="G208" s="11" t="str">
        <x:v>VERIFICATION</x:v>
      </x:c>
      <x:c r="H208" s="11" t="str">
        <x:v>1be580904fb6e66b8cf09bb2415ea9bedda3d9d6</x:v>
      </x:c>
      <x:c r="I208" s="11" t="str">
        <x:v>https://github.com/justinlietz93/Taoism-Mathematics-Research-Project-Internal/commit/1be580904fb6e66b8cf09bb2415ea9bedda3d9d6</x:v>
      </x:c>
      <x:c r="J208" s="11" t="str">
        <x:v>PC-0013</x:v>
      </x:c>
      <x:c r="K208" s="11" t="str">
        <x:v>git-history/git-milestones.csv</x:v>
      </x:c>
    </x:row>
    <x:row r="209">
      <x:c r="A209" s="11" t="str">
        <x:v>TAO-G005</x:v>
      </x:c>
      <x:c r="B209" s="11" t="str">
        <x:v>GIT_COMMIT</x:v>
      </x:c>
      <x:c r="C209" s="11" t="str">
        <x:v>2026-07-10</x:v>
      </x:c>
      <x:c r="D209" s="11" t="str">
        <x:v>Add new source files and data for Phase 5 v8m external audit and core radical purity diagnosis</x:v>
      </x:c>
      <x:c r="E209" s="11" t="str">
        <x:v>d0dd6d2e5fa228a8c57f8decffe45e6a116ec1a1</x:v>
      </x:c>
      <x:c r="F209" s="11" t="str">
        <x:v>Taoism-Mathematics-Research-Project-Internal</x:v>
      </x:c>
      <x:c r="G209" s="11" t="str">
        <x:v>AUDIT</x:v>
      </x:c>
      <x:c r="H209" s="11" t="str">
        <x:v>d0dd6d2e5fa228a8c57f8decffe45e6a116ec1a1</x:v>
      </x:c>
      <x:c r="I209" s="11" t="str">
        <x:v>https://github.com/justinlietz93/Taoism-Mathematics-Research-Project-Internal/commit/d0dd6d2e5fa228a8c57f8decffe45e6a116ec1a1</x:v>
      </x:c>
      <x:c r="J209" s="11" t="str">
        <x:v>PC-0013</x:v>
      </x:c>
      <x:c r="K209" s="11" t="str">
        <x:v>git-history/git-milestones.csv</x:v>
      </x:c>
    </x:row>
    <x:row r="210">
      <x:c r="A210" s="11" t="str">
        <x:v>TAO-G006</x:v>
      </x:c>
      <x:c r="B210" s="11" t="str">
        <x:v>GIT_COMMIT</x:v>
      </x:c>
      <x:c r="C210" s="11" t="str">
        <x:v>2026-07-11</x:v>
      </x:c>
      <x:c r="D210" s="11" t="str">
        <x:v>Add QBL Prime-Pattern Watch package with scanner and documentation</x:v>
      </x:c>
      <x:c r="E210" s="11" t="str">
        <x:v>1c3ce406daeeeb8b2af1e39ee5dd5cdcad3361c8</x:v>
      </x:c>
      <x:c r="F210" s="11" t="str">
        <x:v>Taoism-Mathematics-Research-Project-Internal</x:v>
      </x:c>
      <x:c r="G210" s="11" t="str">
        <x:v>EXPERIMENT</x:v>
      </x:c>
      <x:c r="H210" s="11" t="str">
        <x:v>1c3ce406daeeeb8b2af1e39ee5dd5cdcad3361c8</x:v>
      </x:c>
      <x:c r="I210" s="11" t="str">
        <x:v>https://github.com/justinlietz93/Taoism-Mathematics-Research-Project-Internal/commit/1c3ce406daeeeb8b2af1e39ee5dd5cdcad3361c8</x:v>
      </x:c>
      <x:c r="J210" s="11" t="str">
        <x:v>PC-0013</x:v>
      </x:c>
      <x:c r="K210" s="11" t="str">
        <x:v>git-history/git-milestones.csv</x:v>
      </x:c>
    </x:row>
    <x:row r="211">
      <x:c r="A211" s="11" t="str">
        <x:v>TAO-G007</x:v>
      </x:c>
      <x:c r="B211" s="11" t="str">
        <x:v>GIT_COMMIT</x:v>
      </x:c>
      <x:c r="C211" s="11" t="str">
        <x:v>2026-07-11</x:v>
      </x:c>
      <x:c r="D211" s="11" t="str">
        <x:v>Recurrent grammar emergence</x:v>
      </x:c>
      <x:c r="E211" s="11" t="str">
        <x:v>e2d4353cefcf373d3613292c98001030944640c4</x:v>
      </x:c>
      <x:c r="F211" s="11" t="str">
        <x:v>Taoism-Mathematics-Research-Project-Internal</x:v>
      </x:c>
      <x:c r="G211" s="11" t="str">
        <x:v>DERIVATION</x:v>
      </x:c>
      <x:c r="H211" s="11" t="str">
        <x:v>e2d4353cefcf373d3613292c98001030944640c4</x:v>
      </x:c>
      <x:c r="I211" s="11" t="str">
        <x:v>https://github.com/justinlietz93/Taoism-Mathematics-Research-Project-Internal/commit/e2d4353cefcf373d3613292c98001030944640c4</x:v>
      </x:c>
      <x:c r="J211" s="11" t="str">
        <x:v>PC-0013;PC-0018</x:v>
      </x:c>
      <x:c r="K211" s="11" t="str">
        <x:v>git-history/git-milestones.csv</x:v>
      </x:c>
    </x:row>
    <x:row r="212">
      <x:c r="A212" s="11" t="str">
        <x:v>TAO-G008</x:v>
      </x:c>
      <x:c r="B212" s="11" t="str">
        <x:v>GIT_COMMIT</x:v>
      </x:c>
      <x:c r="C212" s="11" t="str">
        <x:v>2026-07-11</x:v>
      </x:c>
      <x:c r="D212" s="11" t="str">
        <x:v>Add scripts for threshold derivation and package verification</x:v>
      </x:c>
      <x:c r="E212" s="11" t="str">
        <x:v>0c48cc1f76cd101fd63032ad0c1a331932e511e2</x:v>
      </x:c>
      <x:c r="F212" s="11" t="str">
        <x:v>Taoism-Mathematics-Research-Project-Internal</x:v>
      </x:c>
      <x:c r="G212" s="11" t="str">
        <x:v>VERIFICATION</x:v>
      </x:c>
      <x:c r="H212" s="11" t="str">
        <x:v>0c48cc1f76cd101fd63032ad0c1a331932e511e2</x:v>
      </x:c>
      <x:c r="I212" s="11" t="str">
        <x:v>https://github.com/justinlietz93/Taoism-Mathematics-Research-Project-Internal/commit/0c48cc1f76cd101fd63032ad0c1a331932e511e2</x:v>
      </x:c>
      <x:c r="J212" s="11" t="str">
        <x:v>PC-0018</x:v>
      </x:c>
      <x:c r="K212" s="11" t="str">
        <x:v>git-history/git-milestones.csv</x:v>
      </x:c>
    </x:row>
    <x:row r="213">
      <x:c r="A213" s="11" t="str">
        <x:v>TAO-G009</x:v>
      </x:c>
      <x:c r="B213" s="11" t="str">
        <x:v>GIT_COMMIT</x:v>
      </x:c>
      <x:c r="C213" s="11" t="str">
        <x:v>2026-07-11</x:v>
      </x:c>
      <x:c r="D213" s="11" t="str">
        <x:v>Add trace logs for factor derivation and induction proof</x:v>
      </x:c>
      <x:c r="E213" s="11" t="str">
        <x:v>faf3d7709ac2322d4f316e224ad750929c34646d</x:v>
      </x:c>
      <x:c r="F213" s="11" t="str">
        <x:v>Taoism-Mathematics-Research-Project-Internal</x:v>
      </x:c>
      <x:c r="G213" s="11" t="str">
        <x:v>PROOF-TRACE</x:v>
      </x:c>
      <x:c r="H213" s="11" t="str">
        <x:v>faf3d7709ac2322d4f316e224ad750929c34646d</x:v>
      </x:c>
      <x:c r="I213" s="11" t="str">
        <x:v>https://github.com/justinlietz93/Taoism-Mathematics-Research-Project-Internal/commit/faf3d7709ac2322d4f316e224ad750929c34646d</x:v>
      </x:c>
      <x:c r="J213" s="11" t="str">
        <x:v>PC-0018</x:v>
      </x:c>
      <x:c r="K213" s="11" t="str">
        <x:v>git-history/git-milestones.csv</x:v>
      </x:c>
    </x:row>
    <x:row r="214">
      <x:c r="A214" s="11" t="str">
        <x:v>TAO-G010</x:v>
      </x:c>
      <x:c r="B214" s="11" t="str">
        <x:v>GIT_COMMIT</x:v>
      </x:c>
      <x:c r="C214" s="11" t="str">
        <x:v>2026-07-11</x:v>
      </x:c>
      <x:c r="D214" s="11" t="str">
        <x:v>working through the orthad pairing</x:v>
      </x:c>
      <x:c r="E214" s="11" t="str">
        <x:v>9f2ccdf22abccbacd6fbacf6a545118bbbe06826</x:v>
      </x:c>
      <x:c r="F214" s="11" t="str">
        <x:v>Taoism-Mathematics-Research-Project-Internal</x:v>
      </x:c>
      <x:c r="G214" s="11" t="str">
        <x:v>ORTHAD</x:v>
      </x:c>
      <x:c r="H214" s="11" t="str">
        <x:v>9f2ccdf22abccbacd6fbacf6a545118bbbe06826</x:v>
      </x:c>
      <x:c r="I214" s="11" t="str">
        <x:v>https://github.com/justinlietz93/Taoism-Mathematics-Research-Project-Internal/commit/9f2ccdf22abccbacd6fbacf6a545118bbbe06826</x:v>
      </x:c>
      <x:c r="J214" s="11" t="str">
        <x:v>PC-0012;PC-0013</x:v>
      </x:c>
      <x:c r="K214" s="11" t="str">
        <x:v>git-history/git-milestones.csv</x:v>
      </x:c>
    </x:row>
    <x:row r="215">
      <x:c r="A215" s="11" t="str">
        <x:v>TAO-G011</x:v>
      </x:c>
      <x:c r="B215" s="11" t="str">
        <x:v>GIT_COMMIT</x:v>
      </x:c>
      <x:c r="C215" s="11" t="str">
        <x:v>2026-07-12</x:v>
      </x:c>
      <x:c r="D215" s="11" t="str">
        <x:v>updated canon documents and extracting findings from sprawling repo</x:v>
      </x:c>
      <x:c r="E215" s="11" t="str">
        <x:v>39e096442aeee8e0d6776dcde01bc46f681bf34c</x:v>
      </x:c>
      <x:c r="F215" s="11" t="str">
        <x:v>Taoism-Mathematics-Research-Project-Internal</x:v>
      </x:c>
      <x:c r="G215" s="11" t="str">
        <x:v>CANON/AUDIT</x:v>
      </x:c>
      <x:c r="H215" s="11" t="str">
        <x:v>39e096442aeee8e0d6776dcde01bc46f681bf34c</x:v>
      </x:c>
      <x:c r="I215" s="11" t="str">
        <x:v>https://github.com/justinlietz93/Taoism-Mathematics-Research-Project-Internal/commit/39e096442aeee8e0d6776dcde01bc46f681bf34c</x:v>
      </x:c>
      <x:c r="J215" s="11" t="str">
        <x:v>PC-0013;PC-0018</x:v>
      </x:c>
      <x:c r="K215" s="11" t="str">
        <x:v>git-history/git-milestones.csv</x:v>
      </x:c>
    </x:row>
    <x:row r="216">
      <x:c r="A216" s="11" t="str">
        <x:v>CTX-G001</x:v>
      </x:c>
      <x:c r="B216" s="11" t="str">
        <x:v>GIT_COMMIT</x:v>
      </x:c>
      <x:c r="C216" s="11" t="str">
        <x:v>2026-07-12</x:v>
      </x:c>
      <x:c r="D216" s="11" t="str">
        <x:v>first commit</x:v>
      </x:c>
      <x:c r="E216" s="11" t="str">
        <x:v>31f9f8d5ac204d07095fbbf27cbe9d3cfde2216e</x:v>
      </x:c>
      <x:c r="F216" s="11" t="str">
        <x:v>cortex-engine</x:v>
      </x:c>
      <x:c r="G216" s="11" t="str">
        <x:v>BASELINE</x:v>
      </x:c>
      <x:c r="H216" s="11" t="str">
        <x:v>31f9f8d5ac204d07095fbbf27cbe9d3cfde2216e</x:v>
      </x:c>
      <x:c r="I216" s="11" t="str">
        <x:v>https://github.com/Neuroca-Inc/cortex-engine/commit/31f9f8d5ac204d07095fbbf27cbe9d3cfde2216e</x:v>
      </x:c>
      <x:c r="J216" s="11" t="str">
        <x:v>PC-0014</x:v>
      </x:c>
      <x:c r="K216" s="11" t="str">
        <x:v>git-history/git-milestones.csv</x:v>
      </x:c>
    </x:row>
    <x:row r="217">
      <x:c r="A217" s="11" t="str">
        <x:v>CTX-G002</x:v>
      </x:c>
      <x:c r="B217" s="11" t="str">
        <x:v>GIT_COMMIT</x:v>
      </x:c>
      <x:c r="C217" s="11" t="str">
        <x:v>2026-07-13</x:v>
      </x:c>
      <x:c r="D217" s="11" t="str">
        <x:v>CP11</x:v>
      </x:c>
      <x:c r="E217" s="11" t="str">
        <x:v>bcc358ebebe9ed4731f9b6b3fd7599681c60853e</x:v>
      </x:c>
      <x:c r="F217" s="11" t="str">
        <x:v>cortex-engine</x:v>
      </x:c>
      <x:c r="G217" s="11" t="str">
        <x:v>IMPLEMENTATION</x:v>
      </x:c>
      <x:c r="H217" s="11" t="str">
        <x:v>bcc358ebebe9ed4731f9b6b3fd7599681c60853e</x:v>
      </x:c>
      <x:c r="I217" s="11" t="str">
        <x:v>https://github.com/Neuroca-Inc/cortex-engine/commit/bcc358ebebe9ed4731f9b6b3fd7599681c60853e</x:v>
      </x:c>
      <x:c r="J217" s="11" t="str">
        <x:v>PC-0014</x:v>
      </x:c>
      <x:c r="K217" s="11" t="str">
        <x:v>git-history/git-milestones.csv</x:v>
      </x:c>
    </x:row>
    <x:row r="218">
      <x:c r="A218" s="11" t="str">
        <x:v>CTX-G003</x:v>
      </x:c>
      <x:c r="B218" s="11" t="str">
        <x:v>GIT_COMMIT</x:v>
      </x:c>
      <x:c r="C218" s="11" t="str">
        <x:v>2026-07-13</x:v>
      </x:c>
      <x:c r="D218" s="11" t="str">
        <x:v>CP20</x:v>
      </x:c>
      <x:c r="E218" s="11" t="str">
        <x:v>82e0856447fd39085f986d9c634a1c2a5712259d</x:v>
      </x:c>
      <x:c r="F218" s="11" t="str">
        <x:v>cortex-engine</x:v>
      </x:c>
      <x:c r="G218" s="11" t="str">
        <x:v>IMPLEMENTATION</x:v>
      </x:c>
      <x:c r="H218" s="11" t="str">
        <x:v>82e0856447fd39085f986d9c634a1c2a5712259d</x:v>
      </x:c>
      <x:c r="I218" s="11" t="str">
        <x:v>https://github.com/Neuroca-Inc/cortex-engine/commit/82e0856447fd39085f986d9c634a1c2a5712259d</x:v>
      </x:c>
      <x:c r="J218" s="11" t="str">
        <x:v>PC-0014</x:v>
      </x:c>
      <x:c r="K218" s="11" t="str">
        <x:v>git-history/git-milestones.csv</x:v>
      </x:c>
    </x:row>
    <x:row r="219">
      <x:c r="A219" s="11" t="str">
        <x:v>CTX-G004</x:v>
      </x:c>
      <x:c r="B219" s="11" t="str">
        <x:v>GIT_COMMIT</x:v>
      </x:c>
      <x:c r="C219" s="11" t="str">
        <x:v>2026-07-13</x:v>
      </x:c>
      <x:c r="D219" s="11" t="str">
        <x:v>CP20 Retrospective complete</x:v>
      </x:c>
      <x:c r="E219" s="11" t="str">
        <x:v>169dbe7e1b53c2aff6851efc59f862ded14558f2</x:v>
      </x:c>
      <x:c r="F219" s="11" t="str">
        <x:v>cortex-engine</x:v>
      </x:c>
      <x:c r="G219" s="11" t="str">
        <x:v>BOUNDARY/AUDIT</x:v>
      </x:c>
      <x:c r="H219" s="11" t="str">
        <x:v>169dbe7e1b53c2aff6851efc59f862ded14558f2</x:v>
      </x:c>
      <x:c r="I219" s="11" t="str">
        <x:v>https://github.com/Neuroca-Inc/cortex-engine/commit/169dbe7e1b53c2aff6851efc59f862ded14558f2</x:v>
      </x:c>
      <x:c r="J219" s="11" t="str">
        <x:v>PC-0015</x:v>
      </x:c>
      <x:c r="K219" s="11" t="str">
        <x:v>git-history/git-milestones.csv</x:v>
      </x:c>
    </x:row>
    <x:row r="220">
      <x:c r="A220" s="11" t="str">
        <x:v>CTX-G005</x:v>
      </x:c>
      <x:c r="B220" s="11" t="str">
        <x:v>GIT_COMMIT</x:v>
      </x:c>
      <x:c r="C220" s="11" t="str">
        <x:v>2026-07-18</x:v>
      </x:c>
      <x:c r="D220" s="11" t="str">
        <x:v>began implementation of the orthad and lifted object</x:v>
      </x:c>
      <x:c r="E220" s="11" t="str">
        <x:v>0234de28c4ee346a34abad4379da0e35ea96531d</x:v>
      </x:c>
      <x:c r="F220" s="11" t="str">
        <x:v>cortex-engine</x:v>
      </x:c>
      <x:c r="G220" s="11" t="str">
        <x:v>IMPLEMENTATION</x:v>
      </x:c>
      <x:c r="H220" s="11" t="str">
        <x:v>0234de28c4ee346a34abad4379da0e35ea96531d</x:v>
      </x:c>
      <x:c r="I220" s="11" t="str">
        <x:v>https://github.com/Neuroca-Inc/cortex-engine/commit/0234de28c4ee346a34abad4379da0e35ea96531d</x:v>
      </x:c>
      <x:c r="J220" s="11" t="str">
        <x:v>PC-0014;PC-0017</x:v>
      </x:c>
      <x:c r="K220" s="11" t="str">
        <x:v>git-history/git-milestones.csv</x:v>
      </x:c>
    </x:row>
    <x:row r="221">
      <x:c r="A221" s="11" t="str">
        <x:v>CTX-G006</x:v>
      </x:c>
      <x:c r="B221" s="11" t="str">
        <x:v>GIT_COMMIT</x:v>
      </x:c>
      <x:c r="C221" s="11" t="str">
        <x:v>2026-07-20</x:v>
      </x:c>
      <x:c r="D221" s="11" t="str">
        <x:v>began emergent physics work</x:v>
      </x:c>
      <x:c r="E221" s="11" t="str">
        <x:v>7ea9d91</x:v>
      </x:c>
      <x:c r="F221" s="11" t="str">
        <x:v>cortex-engine</x:v>
      </x:c>
      <x:c r="G221" s="11" t="str">
        <x:v>APPLICATION</x:v>
      </x:c>
      <x:c r="H221" s="11" t="str">
        <x:v>7ea9d91</x:v>
      </x:c>
      <x:c r="I221" s="11" t="str">
        <x:v>https://github.com/Neuroca-Inc/cortex-engine/commit/7ea9d91</x:v>
      </x:c>
      <x:c r="J221" s="11" t="str">
        <x:v>PC-0014</x:v>
      </x:c>
      <x:c r="K221" s="11" t="str">
        <x:v>git-history/git-milestones.csv</x:v>
      </x:c>
    </x:row>
    <x:row r="222">
      <x:c r="A222" s="11" t="str">
        <x:v>CTX-G007</x:v>
      </x:c>
      <x:c r="B222" s="11" t="str">
        <x:v>GIT_COMMIT</x:v>
      </x:c>
      <x:c r="C222" s="11" t="str">
        <x:v>2026-07-20</x:v>
      </x:c>
      <x:c r="D222" s="11" t="str">
        <x:v>running tests and checks for emergent physics in the cortex engine</x:v>
      </x:c>
      <x:c r="E222" s="11" t="str">
        <x:v>4a2029139f8cdf91d64c26b63c4a3b3136a6bde6</x:v>
      </x:c>
      <x:c r="F222" s="11" t="str">
        <x:v>cortex-engine</x:v>
      </x:c>
      <x:c r="G222" s="11" t="str">
        <x:v>VERIFICATION</x:v>
      </x:c>
      <x:c r="H222" s="11" t="str">
        <x:v>4a2029139f8cdf91d64c26b63c4a3b3136a6bde6</x:v>
      </x:c>
      <x:c r="I222" s="11" t="str">
        <x:v>https://github.com/Neuroca-Inc/cortex-engine/commit/4a2029139f8cdf91d64c26b63c4a3b3136a6bde6</x:v>
      </x:c>
      <x:c r="J222" s="11" t="str">
        <x:v>PC-0014</x:v>
      </x:c>
      <x:c r="K222" s="11" t="str">
        <x:v>git-history/git-milestones.csv</x:v>
      </x:c>
    </x:row>
    <x:row r="223">
      <x:c r="A223" s="11" t="str">
        <x:v>CTX-G008</x:v>
      </x:c>
      <x:c r="B223" s="11" t="str">
        <x:v>GIT_COMMIT</x:v>
      </x:c>
      <x:c r="C223" s="11" t="str">
        <x:v>2026-07-21</x:v>
      </x:c>
      <x:c r="D223" s="11" t="str">
        <x:v>logged emergent hydrogen</x:v>
      </x:c>
      <x:c r="E223" s="11" t="str">
        <x:v>21c4670</x:v>
      </x:c>
      <x:c r="F223" s="11" t="str">
        <x:v>cortex-engine</x:v>
      </x:c>
      <x:c r="G223" s="11" t="str">
        <x:v>OBSERVATION</x:v>
      </x:c>
      <x:c r="H223" s="11" t="str">
        <x:v>21c4670</x:v>
      </x:c>
      <x:c r="I223" s="11" t="str">
        <x:v>https://github.com/Neuroca-Inc/cortex-engine/commit/21c4670</x:v>
      </x:c>
      <x:c r="J223" s="11" t="str">
        <x:v>PC-0014</x:v>
      </x:c>
      <x:c r="K223" s="11" t="str">
        <x:v>git-history/git-milestones.csv</x:v>
      </x:c>
    </x:row>
    <x:row r="224">
      <x:c r="A224" s="11" t="str">
        <x:v>CTX-G009</x:v>
      </x:c>
      <x:c r="B224" s="11" t="str">
        <x:v>GIT_COMMIT</x:v>
      </x:c>
      <x:c r="C224" s="11" t="str">
        <x:v>2026-08-26</x:v>
      </x:c>
      <x:c r="D224" s="11" t="str">
        <x:v>added emergent dynamics observations and updated lifted object walkthrough, plus added a cortex retained baseline document</x:v>
      </x:c>
      <x:c r="E224" s="11" t="str">
        <x:v>1bd9ad1</x:v>
      </x:c>
      <x:c r="F224" s="11" t="str">
        <x:v>cortex-engine</x:v>
      </x:c>
      <x:c r="G224" s="11" t="str">
        <x:v>CANON/BASELINE</x:v>
      </x:c>
      <x:c r="H224" s="11" t="str">
        <x:v>1bd9ad1</x:v>
      </x:c>
      <x:c r="I224" s="11" t="str">
        <x:v>https://github.com/Neuroca-Inc/cortex-engine/commit/1bd9ad1</x:v>
      </x:c>
      <x:c r="J224" s="11" t="str">
        <x:v>PC-0017</x:v>
      </x:c>
      <x:c r="K224" s="11" t="str">
        <x:v>git-history/git-milestones.csv</x:v>
      </x:c>
    </x:row>
    <x:row r="225">
      <x:c r="A225" s="11" t="str">
        <x:v>RT-G001</x:v>
      </x:c>
      <x:c r="B225" s="11" t="str">
        <x:v>GIT_COMMIT</x:v>
      </x:c>
      <x:c r="C225" s="11" t="str">
        <x:v>2026-06-22</x:v>
      </x:c>
      <x:c r="D225" s="11" t="str">
        <x:v>Initial commit</x:v>
      </x:c>
      <x:c r="E225" s="11" t="str">
        <x:v>827f8261f94d298c08debd53959952af9d240393</x:v>
      </x:c>
      <x:c r="F225" s="11" t="str">
        <x:v>vdm_rt</x:v>
      </x:c>
      <x:c r="G225" s="11" t="str">
        <x:v>BASELINE</x:v>
      </x:c>
      <x:c r="H225" s="11" t="str">
        <x:v>827f8261f94d298c08debd53959952af9d240393</x:v>
      </x:c>
      <x:c r="I225" s="11" t="str">
        <x:v>https://github.com/Neuroca-Inc/vdm_rt/commit/827f8261f94d298c08debd53959952af9d240393</x:v>
      </x:c>
      <x:c r="J225" s="11" t="str"/>
      <x:c r="K225" s="11" t="str">
        <x:v>git-history/git-milestones.csv</x:v>
      </x:c>
    </x:row>
    <x:row r="226">
      <x:c r="A226" s="11" t="str">
        <x:v>RT-G002</x:v>
      </x:c>
      <x:c r="B226" s="11" t="str">
        <x:v>GIT_COMMIT</x:v>
      </x:c>
      <x:c r="C226" s="11" t="str">
        <x:v>2026-06-22</x:v>
      </x:c>
      <x:c r="D226" s="11" t="str">
        <x:v>Add comprehensive roadmap docs for runtime reboot</x:v>
      </x:c>
      <x:c r="E226" s="11" t="str">
        <x:v>87c394c486107cca26563865eee9f99ede3bcfae</x:v>
      </x:c>
      <x:c r="F226" s="11" t="str">
        <x:v>vdm_rt</x:v>
      </x:c>
      <x:c r="G226" s="11" t="str">
        <x:v>ROADMAP</x:v>
      </x:c>
      <x:c r="H226" s="11" t="str">
        <x:v>87c394c486107cca26563865eee9f99ede3bcfae</x:v>
      </x:c>
      <x:c r="I226" s="11" t="str">
        <x:v>https://github.com/Neuroca-Inc/vdm_rt/commit/87c394c486107cca26563865eee9f99ede3bcfae</x:v>
      </x:c>
      <x:c r="J226" s="11" t="str"/>
      <x:c r="K226" s="11" t="str">
        <x:v>git-history/git-milestones.csv</x:v>
      </x:c>
    </x:row>
    <x:row r="227">
      <x:c r="A227" s="11" t="str">
        <x:v>RT-G003</x:v>
      </x:c>
      <x:c r="B227" s="11" t="str">
        <x:v>GIT_COMMIT</x:v>
      </x:c>
      <x:c r="C227" s="11" t="str">
        <x:v>2026-06-22</x:v>
      </x:c>
      <x:c r="D227" s="11" t="str">
        <x:v>Remove dense/sparse mode flags and update docs</x:v>
      </x:c>
      <x:c r="E227" s="11" t="str">
        <x:v>2a6bddf72cdd33490d691331f523738c9e5dd872</x:v>
      </x:c>
      <x:c r="F227" s="11" t="str">
        <x:v>vdm_rt</x:v>
      </x:c>
      <x:c r="G227" s="11" t="str">
        <x:v>CORRECTION/REJECTION</x:v>
      </x:c>
      <x:c r="H227" s="11" t="str">
        <x:v>2a6bddf72cdd33490d691331f523738c9e5dd872</x:v>
      </x:c>
      <x:c r="I227" s="11" t="str">
        <x:v>https://github.com/Neuroca-Inc/vdm_rt/commit/2a6bddf72cdd33490d691331f523738c9e5dd872</x:v>
      </x:c>
      <x:c r="J227" s="11" t="str"/>
      <x:c r="K227" s="11" t="str">
        <x:v>git-history/git-milestones.csv</x:v>
      </x:c>
    </x:row>
    <x:row r="228">
      <x:c r="A228" s="11" t="str">
        <x:v>RT-G004</x:v>
      </x:c>
      <x:c r="B228" s="11" t="str">
        <x:v>GIT_COMMIT</x:v>
      </x:c>
      <x:c r="C228" s="11" t="str">
        <x:v>2026-06-22</x:v>
      </x:c>
      <x:c r="D228" s="11" t="str">
        <x:v>Implement reboot cleanup policy / legacy substrate findings</x:v>
      </x:c>
      <x:c r="E228" s="11" t="str">
        <x:v>fff151080e2fc0a05726f14bb92713e97256d750</x:v>
      </x:c>
      <x:c r="F228" s="11" t="str">
        <x:v>vdm_rt</x:v>
      </x:c>
      <x:c r="G228" s="11" t="str">
        <x:v>CORRECTION/REJECTION</x:v>
      </x:c>
      <x:c r="H228" s="11" t="str">
        <x:v>fff151080e2fc0a05726f14bb92713e97256d750</x:v>
      </x:c>
      <x:c r="I228" s="11" t="str">
        <x:v>https://github.com/Neuroca-Inc/vdm_rt/commit/fff151080e2fc0a05726f14bb92713e97256d750</x:v>
      </x:c>
      <x:c r="J228" s="11" t="str"/>
      <x:c r="K228" s="11" t="str">
        <x:v>git-history/git-milestones.csv</x:v>
      </x:c>
    </x:row>
    <x:row r="229">
      <x:c r="A229" s="11" t="str">
        <x:v>RT-G005</x:v>
      </x:c>
      <x:c r="B229" s="11" t="str">
        <x:v>GIT_COMMIT</x:v>
      </x:c>
      <x:c r="C229" s="11" t="str">
        <x:v>2026-06-26</x:v>
      </x:c>
      <x:c r="D229" s="11" t="str">
        <x:v>added regression test</x:v>
      </x:c>
      <x:c r="E229" s="11" t="str">
        <x:v>165c5419eb23ad03df1325c7561e17555941e750</x:v>
      </x:c>
      <x:c r="F229" s="11" t="str">
        <x:v>vdm_rt</x:v>
      </x:c>
      <x:c r="G229" s="11" t="str">
        <x:v>VERIFICATION</x:v>
      </x:c>
      <x:c r="H229" s="11" t="str">
        <x:v>165c5419eb23ad03df1325c7561e17555941e750</x:v>
      </x:c>
      <x:c r="I229" s="11" t="str">
        <x:v>https://github.com/Neuroca-Inc/vdm_rt/commit/165c5419eb23ad03df1325c7561e17555941e750</x:v>
      </x:c>
      <x:c r="J229" s="11" t="str"/>
      <x:c r="K229" s="11" t="str">
        <x:v>git-history/git-milestones.csv</x:v>
      </x:c>
    </x:row>
    <x:row r="230">
      <x:c r="A230" s="11" t="str">
        <x:v>RT-G006</x:v>
      </x:c>
      <x:c r="B230" s="11" t="str">
        <x:v>GIT_COMMIT</x:v>
      </x:c>
      <x:c r="C230" s="11" t="str">
        <x:v>2026-06-27</x:v>
      </x:c>
      <x:c r="D230" s="11" t="str">
        <x:v>continued cleanup, removal of broken UTD/UTE system</x:v>
      </x:c>
      <x:c r="E230" s="11" t="str">
        <x:v>0057fdcb670ca7a9611522983a18e5d293237914</x:v>
      </x:c>
      <x:c r="F230" s="11" t="str">
        <x:v>vdm_rt</x:v>
      </x:c>
      <x:c r="G230" s="11" t="str">
        <x:v>CORRECTION/REJECTION</x:v>
      </x:c>
      <x:c r="H230" s="11" t="str">
        <x:v>0057fdcb670ca7a9611522983a18e5d293237914</x:v>
      </x:c>
      <x:c r="I230" s="11" t="str">
        <x:v>https://github.com/Neuroca-Inc/vdm_rt/commit/0057fdcb670ca7a9611522983a18e5d293237914</x:v>
      </x:c>
      <x:c r="J230" s="11" t="str"/>
      <x:c r="K230" s="11" t="str">
        <x:v>git-history/git-milestones.csv</x:v>
      </x:c>
    </x:row>
    <x:row r="231">
      <x:c r="A231" s="11" t="str">
        <x:v>RT-G007</x:v>
      </x:c>
      <x:c r="B231" s="11" t="str">
        <x:v>GIT_COMMIT</x:v>
      </x:c>
      <x:c r="C231" s="11" t="str">
        <x:v>2026-06-27</x:v>
      </x:c>
      <x:c r="D231" s="11" t="str">
        <x:v>added experiment testing outcomes</x:v>
      </x:c>
      <x:c r="E231" s="11" t="str">
        <x:v>a77092e45bbb0f85ff496a68d15f615880a7c83f</x:v>
      </x:c>
      <x:c r="F231" s="11" t="str">
        <x:v>vdm_rt</x:v>
      </x:c>
      <x:c r="G231" s="11" t="str">
        <x:v>EXPERIMENT</x:v>
      </x:c>
      <x:c r="H231" s="11" t="str">
        <x:v>a77092e45bbb0f85ff496a68d15f615880a7c83f</x:v>
      </x:c>
      <x:c r="I231" s="11" t="str">
        <x:v>https://github.com/Neuroca-Inc/vdm_rt/commit/a77092e45bbb0f85ff496a68d15f615880a7c83f</x:v>
      </x:c>
      <x:c r="J231" s="11" t="str"/>
      <x:c r="K231" s="11" t="str">
        <x:v>git-history/git-milestones.csv</x:v>
      </x:c>
    </x:row>
    <x:row r="232">
      <x:c r="A232" s="11" t="str">
        <x:v>RT-G008</x:v>
      </x:c>
      <x:c r="B232" s="11" t="str">
        <x:v>GIT_COMMIT</x:v>
      </x:c>
      <x:c r="C232" s="11" t="str">
        <x:v>2026-06-27</x:v>
      </x:c>
      <x:c r="D232" s="11" t="str">
        <x:v>recreated 02 experiment. Decompressed check passed:</x:v>
      </x:c>
      <x:c r="E232" s="11" t="str">
        <x:v>f60ef5cff839c9db32a626663f91f97f5a8dfbf4</x:v>
      </x:c>
      <x:c r="F232" s="11" t="str">
        <x:v>vdm_rt</x:v>
      </x:c>
      <x:c r="G232" s="11" t="str">
        <x:v>VERIFICATION</x:v>
      </x:c>
      <x:c r="H232" s="11" t="str">
        <x:v>f60ef5cff839c9db32a626663f91f97f5a8dfbf4</x:v>
      </x:c>
      <x:c r="I232" s="11" t="str">
        <x:v>https://github.com/Neuroca-Inc/vdm_rt/commit/f60ef5cff839c9db32a626663f91f97f5a8dfbf4</x:v>
      </x:c>
      <x:c r="J232" s="11" t="str"/>
      <x:c r="K232" s="11" t="str">
        <x:v>git-history/git-milestones.csv</x:v>
      </x:c>
    </x:row>
    <x:row r="233">
      <x:c r="A233" s="11" t="str">
        <x:v>RT-G009</x:v>
      </x:c>
      <x:c r="B233" s="11" t="str">
        <x:v>GIT_COMMIT</x:v>
      </x:c>
      <x:c r="C233" s="11" t="str">
        <x:v>2026-06-27</x:v>
      </x:c>
      <x:c r="D233" s="11" t="str">
        <x:v>Replaced the separate UTE/UTD log surfaces with a shared compressed sensorimotor boundary log</x:v>
      </x:c>
      <x:c r="E233" s="11" t="str">
        <x:v>aa2434069b7bd8f50a6c191de6bf02f473f8e56e</x:v>
      </x:c>
      <x:c r="F233" s="11" t="str">
        <x:v>vdm_rt</x:v>
      </x:c>
      <x:c r="G233" s="11" t="str">
        <x:v>ARCHITECTURE</x:v>
      </x:c>
      <x:c r="H233" s="11" t="str">
        <x:v>aa2434069b7bd8f50a6c191de6bf02f473f8e56e</x:v>
      </x:c>
      <x:c r="I233" s="11" t="str">
        <x:v>https://github.com/Neuroca-Inc/vdm_rt/commit/aa2434069b7bd8f50a6c191de6bf02f473f8e56e</x:v>
      </x:c>
      <x:c r="J233" s="11" t="str"/>
      <x:c r="K233" s="11" t="str">
        <x:v>git-history/git-milestones.csv</x:v>
      </x:c>
    </x:row>
    <x:row r="234">
      <x:c r="A234" s="11" t="str">
        <x:v>RT-G010</x:v>
      </x:c>
      <x:c r="B234" s="11" t="str">
        <x:v>GIT_COMMIT</x:v>
      </x:c>
      <x:c r="C234" s="11" t="str">
        <x:v>2026-06-27</x:v>
      </x:c>
      <x:c r="D234" s="11" t="str">
        <x:v>wired the live runtime path to the motor trace boundary without restoring text decoding</x:v>
      </x:c>
      <x:c r="E234" s="11" t="str">
        <x:v>c023f5b2aa3c3786f40b1d27da48d0e8db2d71d8</x:v>
      </x:c>
      <x:c r="F234" s="11" t="str">
        <x:v>vdm_rt</x:v>
      </x:c>
      <x:c r="G234" s="11" t="str">
        <x:v>IMPLEMENTATION</x:v>
      </x:c>
      <x:c r="H234" s="11" t="str">
        <x:v>c023f5b2aa3c3786f40b1d27da48d0e8db2d71d8</x:v>
      </x:c>
      <x:c r="I234" s="11" t="str">
        <x:v>https://github.com/Neuroca-Inc/vdm_rt/commit/c023f5b2aa3c3786f40b1d27da48d0e8db2d71d8</x:v>
      </x:c>
      <x:c r="J234" s="11" t="str"/>
      <x:c r="K234" s="11" t="str">
        <x:v>git-history/git-milestones.csv</x:v>
      </x:c>
    </x:row>
    <x:row r="235">
      <x:c r="A235" s="11" t="str">
        <x:v>METH-001</x:v>
      </x:c>
      <x:c r="B235" s="11" t="str">
        <x:v>METHODOLOGY</x:v>
      </x:c>
      <x:c r="C235" s="11" t="str"/>
      <x:c r="D235" s="11" t="str">
        <x:v>ORCHESTRA</x:v>
      </x:c>
      <x:c r="E235" s="11" t="str">
        <x:v>BUILT_AND_FORMALIZED_DURING</x:v>
      </x:c>
      <x:c r="F235" s="11" t="str">
        <x:v>Taoism / Active-Study</x:v>
      </x:c>
      <x:c r="G235" s="11" t="str">
        <x:v>USER-ATTESTED / DATE-UNRESOLVED</x:v>
      </x:c>
      <x:c r="H235" s="11" t="str"/>
      <x:c r="I235" s="11" t="str"/>
      <x:c r="J235" s="11" t="str"/>
      <x:c r="K235" s="11" t="str">
        <x:v>ledgers/methodology-lineage.csv</x:v>
      </x:c>
    </x:row>
    <x:row r="236">
      <x:c r="A236" s="11" t="str">
        <x:v>METH-003</x:v>
      </x:c>
      <x:c r="B236" s="11" t="str">
        <x:v>METHODOLOGY</x:v>
      </x:c>
      <x:c r="C236" s="11" t="str">
        <x:v>2026-08-04</x:v>
      </x:c>
      <x:c r="D236" s="11" t="str">
        <x:v>ORCHESTRA Research Package Template</x:v>
      </x:c>
      <x:c r="E236" s="11" t="str">
        <x:v>CONCRETE_FORMALIZATION</x:v>
      </x:c>
      <x:c r="F236" s="11" t="str">
        <x:v>ORCHESTRA</x:v>
      </x:c>
      <x:c r="G236" s="11" t="str">
        <x:v>SOURCE-ARTIFACT / HASHED</x:v>
      </x:c>
      <x:c r="H236" s="11" t="str"/>
      <x:c r="I236" s="11" t="str">
        <x:v>methodology/ORCHESTRA/source-artifacts/ORCHESTRA_RESEARCH_PACKAGE_TEMPLATE_v2.0_20260804/</x:v>
      </x:c>
      <x:c r="J236" s="11" t="str"/>
      <x:c r="K236" s="11" t="str">
        <x:v>ledgers/methodology-lineage.csv</x:v>
      </x:c>
    </x:row>
    <x:row r="237">
      <x:c r="A237" s="11" t="str">
        <x:v>METH-004</x:v>
      </x:c>
      <x:c r="B237" s="11" t="str">
        <x:v>METHODOLOGY</x:v>
      </x:c>
      <x:c r="C237" s="11" t="str">
        <x:v>2026-08-04</x:v>
      </x:c>
      <x:c r="D237" s="11" t="str">
        <x:v>ORCHESTRA Publication Package Template</x:v>
      </x:c>
      <x:c r="E237" s="11" t="str">
        <x:v>RESEARCH_TO_PUBLICATION_CUSTODY</x:v>
      </x:c>
      <x:c r="F237" s="11" t="str">
        <x:v>ORCHESTRA</x:v>
      </x:c>
      <x:c r="G237" s="11" t="str">
        <x:v>SOURCE-ARTIFACT / HASHED</x:v>
      </x:c>
      <x:c r="H237" s="11" t="str"/>
      <x:c r="I237" s="11" t="str">
        <x:v>methodology/ORCHESTRA/source-artifacts/ORCHESTRA_PUBLICATION_PACKAGE_TEMPLATE_v2.0_20260804/</x:v>
      </x:c>
      <x:c r="J237" s="11" t="str"/>
      <x:c r="K237" s="11" t="str">
        <x:v>ledgers/methodology-lineage.csv</x:v>
      </x:c>
    </x:row>
    <x:row r="238">
      <x:c r="A238" s="11" t="str">
        <x:v>METH-005</x:v>
      </x:c>
      <x:c r="B238" s="11" t="str">
        <x:v>METHODOLOGY</x:v>
      </x:c>
      <x:c r="C238" s="11" t="str">
        <x:v>2026-08-21</x:v>
      </x:c>
      <x:c r="D238" s="11" t="str">
        <x:v>Research and Evidence Standard v1.0.1</x:v>
      </x:c>
      <x:c r="E238" s="11" t="str">
        <x:v>GENERALIZES_METHOD</x:v>
      </x:c>
      <x:c r="F238" s="11" t="str">
        <x:v>ORCHESTRA / Standards</x:v>
      </x:c>
      <x:c r="G238" s="11" t="str">
        <x:v>SOURCE-ARTIFACT / HASHED</x:v>
      </x:c>
      <x:c r="H238" s="11" t="str"/>
      <x:c r="I238" s="11" t="str">
        <x:v>methodology/ORCHESTRA/source-artifacts/RESEARCH_AND_EVIDENCE_STANDARD_v1.0.1_20260821/</x:v>
      </x:c>
      <x:c r="J238" s="11" t="str"/>
      <x:c r="K238" s="11" t="str">
        <x:v>ledgers/methodology-lineage.csv</x:v>
      </x:c>
    </x:row>
    <x:row r="239">
      <x:c r="A239" s="11" t="str">
        <x:v>METH-006</x:v>
      </x:c>
      <x:c r="B239" s="11" t="str">
        <x:v>METHODOLOGY</x:v>
      </x:c>
      <x:c r="C239" s="11" t="str">
        <x:v>2026-08-26</x:v>
      </x:c>
      <x:c r="D239" s="11" t="str">
        <x:v>Ancestor Custody Workflow Upgrade v1.0 / ORCHESTRA v2.1</x:v>
      </x:c>
      <x:c r="E239" s="11" t="str">
        <x:v>ADDS_EXACT_ANCESTRY_CUSTODY</x:v>
      </x:c>
      <x:c r="F239" s="11" t="str">
        <x:v>ORCHESTRA</x:v>
      </x:c>
      <x:c r="G239" s="11" t="str">
        <x:v>SOURCE-ARTIFACT / HASHED</x:v>
      </x:c>
      <x:c r="H239" s="11" t="str"/>
      <x:c r="I239" s="11" t="str">
        <x:v>methodology/ORCHESTRA/source-artifacts/ANCESTOR_CUSTODY_WORKFLOW_UPGRADE_v1.0_20260826/</x:v>
      </x:c>
      <x:c r="J239" s="11" t="str"/>
      <x:c r="K239" s="11" t="str">
        <x:v>ledgers/methodology-lineage.csv</x:v>
      </x:c>
    </x:row>
    <x:row r="240">
      <x:c r="A240" s="11" t="str">
        <x:v>METH-002</x:v>
      </x:c>
      <x:c r="B240" s="11" t="str">
        <x:v>METHODOLOGY</x:v>
      </x:c>
      <x:c r="C240" s="11" t="str"/>
      <x:c r="D240" s="11" t="str">
        <x:v>Cairn</x:v>
      </x:c>
      <x:c r="E240" s="11" t="str">
        <x:v>FOLLOWS_ORCHESTRA</x:v>
      </x:c>
      <x:c r="F240" s="11" t="str">
        <x:v>Post-ORCHESTRA methodology development</x:v>
      </x:c>
      <x:c r="G240" s="11" t="str">
        <x:v>USER-ATTESTED / DATE-UNRESOLVED</x:v>
      </x:c>
      <x:c r="H240" s="11" t="str"/>
      <x:c r="I240" s="11" t="str"/>
      <x:c r="J240" s="11" t="str"/>
      <x:c r="K240" s="11" t="str">
        <x:v>ledgers/methodology-lineage.csv</x:v>
      </x:c>
    </x:row>
    <x:row r="241">
      <x:c r="A241" s="11" t="str">
        <x:v>LEGACY-001</x:v>
      </x:c>
      <x:c r="B241" s="11" t="str">
        <x:v>HISTORICAL_MANUSCRIPT</x:v>
      </x:c>
      <x:c r="C241" s="11" t="str"/>
      <x:c r="D241" s="11" t="str">
        <x:v>Definitions and Mechanisms of the Primitive Bifurcation Law</x:v>
      </x:c>
      <x:c r="E241" s="11" t="str">
        <x:v>A-1_Primitive_Bifurcation_Spec.md</x:v>
      </x:c>
      <x:c r="F241" s="11" t="str">
        <x:v>Legacy CF</x:v>
      </x:c>
      <x:c r="G241" s="11" t="str"/>
      <x:c r="H241" s="11" t="str">
        <x:v>e768a1138889abe6ecbf9af519a4498c36cb61027371272cfa8546a8ad70ef52</x:v>
      </x:c>
      <x:c r="I241" s="11" t="str"/>
      <x:c r="J241" s="11" t="str"/>
      <x:c r="K241" s="11" t="str">
        <x:v>historical/legacy-cf/legacy-cf-index.csv</x:v>
      </x:c>
    </x:row>
    <x:row r="242">
      <x:c r="A242" s="11" t="str">
        <x:v>LEGACY-002</x:v>
      </x:c>
      <x:c r="B242" s="11" t="str">
        <x:v>HISTORICAL_MANUSCRIPT</x:v>
      </x:c>
      <x:c r="C242" s="11" t="str">
        <x:v>2026-03-14</x:v>
      </x:c>
      <x:c r="D242" s="11" t="str">
        <x:v>CF000: Complete Formalism — Primitive Distinguishability and the Origin of Differentiability in VDM</x:v>
      </x:c>
      <x:c r="E242" s="11" t="str">
        <x:v>CF000_Primitive_Distinguishability_and_the_Origin_of_Differentiability.md</x:v>
      </x:c>
      <x:c r="F242" s="11" t="str">
        <x:v>Legacy CF</x:v>
      </x:c>
      <x:c r="G242" s="11" t="str">
        <x:v>Proved.</x:v>
      </x:c>
      <x:c r="H242" s="11" t="str">
        <x:v>3c568c21d7264e3833a86907c346a084a663aa5957c4d6848be439c5e1e0ca5e</x:v>
      </x:c>
      <x:c r="I242" s="11" t="str"/>
      <x:c r="J242" s="11" t="str"/>
      <x:c r="K242" s="11" t="str">
        <x:v>historical/legacy-cf/legacy-cf-index.csv</x:v>
      </x:c>
    </x:row>
    <x:row r="243">
      <x:c r="A243" s="11" t="str">
        <x:v>LEGACY-003</x:v>
      </x:c>
      <x:c r="B243" s="11" t="str">
        <x:v>HISTORICAL_MANUSCRIPT</x:v>
      </x:c>
      <x:c r="C243" s="11" t="str">
        <x:v>2026-03-08</x:v>
      </x:c>
      <x:c r="D243" s="11" t="str">
        <x:v>CF00: Complete Formalism — Primitive Origin of Induced Geometry and Emergent Dynamics in VDM</x:v>
      </x:c>
      <x:c r="E243" s="11" t="str">
        <x:v>CF00_Primitive_Origin_of_Induced_Geometry_and_Emergent_Dynamics.md</x:v>
      </x:c>
      <x:c r="F243" s="11" t="str">
        <x:v>Legacy CF</x:v>
      </x:c>
      <x:c r="G243" s="11" t="str">
        <x:v>Complete Formalism</x:v>
      </x:c>
      <x:c r="H243" s="11" t="str">
        <x:v>4dbdf9eb8e52f985720d4c95ed3746bef516a2145a35d17f5dbe170aac241961</x:v>
      </x:c>
      <x:c r="I243" s="11" t="str"/>
      <x:c r="J243" s="11" t="str"/>
      <x:c r="K243" s="11" t="str">
        <x:v>historical/legacy-cf/legacy-cf-index.csv</x:v>
      </x:c>
    </x:row>
    <x:row r="244">
      <x:c r="A244" s="11" t="str">
        <x:v>LEGACY-004</x:v>
      </x:c>
      <x:c r="B244" s="11" t="str">
        <x:v>HISTORICAL_MANUSCRIPT</x:v>
      </x:c>
      <x:c r="C244" s="11" t="str">
        <x:v>2025-11-05</x:v>
      </x:c>
      <x:c r="D244" s="11" t="str">
        <x:v>CF01: Complete Formalism — Quantum Geometric Tensor to Metriplectic Brackets</x:v>
      </x:c>
      <x:c r="E244" s="11" t="str">
        <x:v>CF01_QGT_to_Metriplectic_Brackets.md</x:v>
      </x:c>
      <x:c r="F244" s="11" t="str">
        <x:v>Legacy CF</x:v>
      </x:c>
      <x:c r="G244" s="11" t="str">
        <x:v>Complete Derivation</x:v>
      </x:c>
      <x:c r="H244" s="11" t="str">
        <x:v>68eea832b9e748510e3fdbda5a8fecf52a623d68e4f831cebc673847c86bf230</x:v>
      </x:c>
      <x:c r="I244" s="11" t="str"/>
      <x:c r="J244" s="11" t="str"/>
      <x:c r="K244" s="11" t="str">
        <x:v>historical/legacy-cf/legacy-cf-index.csv</x:v>
      </x:c>
    </x:row>
    <x:row r="245">
      <x:c r="A245" s="11" t="str">
        <x:v>LEGACY-005</x:v>
      </x:c>
      <x:c r="B245" s="11" t="str">
        <x:v>HISTORICAL_MANUSCRIPT</x:v>
      </x:c>
      <x:c r="C245" s="11" t="str">
        <x:v>2025-11-05</x:v>
      </x:c>
      <x:c r="D245" s="11" t="str">
        <x:v>CF02: Complete Formalism — Contact Geometry to Metriplectic Evolution</x:v>
      </x:c>
      <x:c r="E245" s="11" t="str">
        <x:v>CF02_Contact_to_Metriplectic_Evolution.md</x:v>
      </x:c>
      <x:c r="F245" s="11" t="str">
        <x:v>Legacy CF</x:v>
      </x:c>
      <x:c r="G245" s="11" t="str">
        <x:v>Complete Derivation</x:v>
      </x:c>
      <x:c r="H245" s="11" t="str">
        <x:v>a7f5071514fa3c949a50e214a25bde68a46ec5226470a909f22532097e7e7091</x:v>
      </x:c>
      <x:c r="I245" s="11" t="str"/>
      <x:c r="J245" s="11" t="str"/>
      <x:c r="K245" s="11" t="str">
        <x:v>historical/legacy-cf/legacy-cf-index.csv</x:v>
      </x:c>
    </x:row>
    <x:row r="246">
      <x:c r="A246" s="11" t="str">
        <x:v>LEGACY-006</x:v>
      </x:c>
      <x:c r="B246" s="11" t="str">
        <x:v>HISTORICAL_MANUSCRIPT</x:v>
      </x:c>
      <x:c r="C246" s="11" t="str">
        <x:v>2025-11-05</x:v>
      </x:c>
      <x:c r="D246" s="11" t="str">
        <x:v>CF03: Complete Formalism — A8 Scaling Theorem (Hierarchical Tachyonic Interfaces)</x:v>
      </x:c>
      <x:c r="E246" s="11" t="str">
        <x:v>CF03_A8_Scaling_Hierarchical_Interfaces.md</x:v>
      </x:c>
      <x:c r="F246" s="11" t="str">
        <x:v>Legacy CF</x:v>
      </x:c>
      <x:c r="G246" s="11" t="str">
        <x:v>Complete Derivation</x:v>
      </x:c>
      <x:c r="H246" s="11" t="str">
        <x:v>7221201ae024a7fef28429bf447effcf108beb984a3226d30ebd7ea7f4c6257b</x:v>
      </x:c>
      <x:c r="I246" s="11" t="str"/>
      <x:c r="J246" s="11" t="str"/>
      <x:c r="K246" s="11" t="str">
        <x:v>historical/legacy-cf/legacy-cf-index.csv</x:v>
      </x:c>
    </x:row>
    <x:row r="247">
      <x:c r="A247" s="11" t="str">
        <x:v>LEGACY-007</x:v>
      </x:c>
      <x:c r="B247" s="11" t="str">
        <x:v>HISTORICAL_MANUSCRIPT</x:v>
      </x:c>
      <x:c r="C247" s="11" t="str">
        <x:v>2025-11-05</x:v>
      </x:c>
      <x:c r="D247" s="11" t="str">
        <x:v>CF04: Complete Formalism — Telegraph-Fisher Causality (Finite-Speed Transport)</x:v>
      </x:c>
      <x:c r="E247" s="11" t="str">
        <x:v>CF04_Telegraph_Fisher_Causality.md</x:v>
      </x:c>
      <x:c r="F247" s="11" t="str">
        <x:v>Legacy CF</x:v>
      </x:c>
      <x:c r="G247" s="11" t="str">
        <x:v>Complete Derivation</x:v>
      </x:c>
      <x:c r="H247" s="11" t="str">
        <x:v>8a6173435140c2f92f4ac6870200fe57edea85ba96e98f32226be63a91d5de3e</x:v>
      </x:c>
      <x:c r="I247" s="11" t="str"/>
      <x:c r="J247" s="11" t="str"/>
      <x:c r="K247" s="11" t="str">
        <x:v>historical/legacy-cf/legacy-cf-index.csv</x:v>
      </x:c>
    </x:row>
    <x:row r="248">
      <x:c r="A248" s="11" t="str">
        <x:v>LEGACY-008</x:v>
      </x:c>
      <x:c r="B248" s="11" t="str">
        <x:v>HISTORICAL_MANUSCRIPT</x:v>
      </x:c>
      <x:c r="C248" s="11" t="str">
        <x:v>2025-11-05</x:v>
      </x:c>
      <x:c r="D248" s="11" t="str">
        <x:v>CF05: Complete Formalism — Integrability Closure (No Hidden Conserved Quantities)</x:v>
      </x:c>
      <x:c r="E248" s="11" t="str">
        <x:v>CF05_Integrability_Closure.md</x:v>
      </x:c>
      <x:c r="F248" s="11" t="str">
        <x:v>Legacy CF</x:v>
      </x:c>
      <x:c r="G248" s="11" t="str">
        <x:v>Complete Derivation</x:v>
      </x:c>
      <x:c r="H248" s="11" t="str">
        <x:v>f865720dc3d2d2bfb5d99c39dd018cdd8f771cf5345336918f1d493ed601da71</x:v>
      </x:c>
      <x:c r="I248" s="11" t="str"/>
      <x:c r="J248" s="11" t="str"/>
      <x:c r="K248" s="11" t="str">
        <x:v>historical/legacy-cf/legacy-cf-index.csv</x:v>
      </x:c>
    </x:row>
    <x:row r="249">
      <x:c r="A249" s="11" t="str">
        <x:v>LEGACY-009</x:v>
      </x:c>
      <x:c r="B249" s="11" t="str">
        <x:v>HISTORICAL_MANUSCRIPT</x:v>
      </x:c>
      <x:c r="C249" s="11" t="str">
        <x:v>2025-11-05</x:v>
      </x:c>
      <x:c r="D249" s="11" t="str">
        <x:v>CF06: Information Geometry Foundations — Fisher and Ruppeiner Metrics for VDM M-Limb</x:v>
      </x:c>
      <x:c r="E249" s="11" t="str">
        <x:v>CF06_Info_Geom_Fisher_Ruppeiner_Foundations.md</x:v>
      </x:c>
      <x:c r="F249" s="11" t="str">
        <x:v>Legacy CF</x:v>
      </x:c>
      <x:c r="G249" s="11" t="str">
        <x:v>Complete Derivation</x:v>
      </x:c>
      <x:c r="H249" s="11" t="str">
        <x:v>4bcec68906c71a8034cdd9a4143ae3811c35dac1a8122580969e26910a50cd00</x:v>
      </x:c>
      <x:c r="I249" s="11" t="str"/>
      <x:c r="J249" s="11" t="str"/>
      <x:c r="K249" s="11" t="str">
        <x:v>historical/legacy-cf/legacy-cf-index.csv</x:v>
      </x:c>
    </x:row>
    <x:row r="250">
      <x:c r="A250" s="11" t="str">
        <x:v>LEGACY-010</x:v>
      </x:c>
      <x:c r="B250" s="11" t="str">
        <x:v>HISTORICAL_MANUSCRIPT</x:v>
      </x:c>
      <x:c r="C250" s="11" t="str">
        <x:v>2025-11-05</x:v>
      </x:c>
      <x:c r="D250" s="11" t="str">
        <x:v>CF07: Measurement Theory Foundations — Decoherence and Born Rule for VDM</x:v>
      </x:c>
      <x:c r="E250" s="11" t="str">
        <x:v>CF07_Measurement_Theory_Decoherence_Born_Rule.md</x:v>
      </x:c>
      <x:c r="F250" s="11" t="str">
        <x:v>Legacy CF</x:v>
      </x:c>
      <x:c r="G250" s="11" t="str">
        <x:v>Complete Derivation</x:v>
      </x:c>
      <x:c r="H250" s="11" t="str">
        <x:v>ff79b4677ae5d614a41706ef2327aba02056e7c3ea0f28e7653212d51dd7c061</x:v>
      </x:c>
      <x:c r="I250" s="11" t="str"/>
      <x:c r="J250" s="11" t="str"/>
      <x:c r="K250" s="11" t="str">
        <x:v>historical/legacy-cf/legacy-cf-index.csv</x:v>
      </x:c>
    </x:row>
    <x:row r="251">
      <x:c r="A251" s="11" t="str">
        <x:v>LEGACY-011</x:v>
      </x:c>
      <x:c r="B251" s="11" t="str">
        <x:v>HISTORICAL_MANUSCRIPT</x:v>
      </x:c>
      <x:c r="C251" s="11" t="str">
        <x:v>2025-11-20</x:v>
      </x:c>
      <x:c r="D251" s="11" t="str">
        <x:v>CF08: Complete Formalism — Spinor Emergence via Domain-Wall Fermions in VDM</x:v>
      </x:c>
      <x:c r="E251" s="11" t="str">
        <x:v>CF08_Spinor_Emergence_Domain_Wall_Fermions.md</x:v>
      </x:c>
      <x:c r="F251" s="11" t="str">
        <x:v>Legacy CF</x:v>
      </x:c>
      <x:c r="G251" s="11" t="str">
        <x:v>ACTIVE — Nielsen-Ninomiya Red Team Defense</x:v>
      </x:c>
      <x:c r="H251" s="11" t="str">
        <x:v>588a96efb1b1ddd05060bea97520f80d1c5d4d0ad7eb390e4789db0dfbd7d74f</x:v>
      </x:c>
      <x:c r="I251" s="11" t="str"/>
      <x:c r="J251" s="11" t="str"/>
      <x:c r="K251" s="11" t="str">
        <x:v>historical/legacy-cf/legacy-cf-index.csv</x:v>
      </x:c>
    </x:row>
    <x:row r="252">
      <x:c r="A252" s="11" t="str">
        <x:v>LEGACY-012</x:v>
      </x:c>
      <x:c r="B252" s="11" t="str">
        <x:v>HISTORICAL_MANUSCRIPT</x:v>
      </x:c>
      <x:c r="C252" s="11" t="str">
        <x:v>2025-11-20</x:v>
      </x:c>
      <x:c r="D252" s="11" t="str">
        <x:v>CF09: Complete Formalism — Gauge Field Emergence via Berry Connection in VDM</x:v>
      </x:c>
      <x:c r="E252" s="11" t="str">
        <x:v>CF09_Gauge_Emergence_Berry_Connection.md</x:v>
      </x:c>
      <x:c r="F252" s="11" t="str">
        <x:v>Legacy CF</x:v>
      </x:c>
      <x:c r="G252" s="11" t="str">
        <x:v>ACTIVE — Weinberg-Witten Red Team Defense</x:v>
      </x:c>
      <x:c r="H252" s="11" t="str">
        <x:v>0c41fbe681cfffea9ba8fc54ac660640a05642b76fddc4af9a868f3a0a256113</x:v>
      </x:c>
      <x:c r="I252" s="11" t="str"/>
      <x:c r="J252" s="11" t="str"/>
      <x:c r="K252" s="11" t="str">
        <x:v>historical/legacy-cf/legacy-cf-index.csv</x:v>
      </x:c>
    </x:row>
    <x:row r="253">
      <x:c r="A253" s="11" t="str">
        <x:v>LEGACY-013</x:v>
      </x:c>
      <x:c r="B253" s="11" t="str">
        <x:v>HISTORICAL_MANUSCRIPT</x:v>
      </x:c>
      <x:c r="C253" s="11" t="str">
        <x:v>2025-11-27</x:v>
      </x:c>
      <x:c r="D253" s="11" t="str">
        <x:v>CF10: Complete Formalism — VDM Lattice Hydrodynamics, Continuum Limit, and Regularity Program</x:v>
      </x:c>
      <x:c r="E253" s="11" t="str">
        <x:v>CF10_Lattice_Fluids_Continuum_and_Regularity_Program.md</x:v>
      </x:c>
      <x:c r="F253" s="11" t="str">
        <x:v>Legacy CF</x:v>
      </x:c>
      <x:c r="G253" s="11" t="str">
        <x:v>Program with Partial Derivations (NOT a complete proof of NS regularity)</x:v>
      </x:c>
      <x:c r="H253" s="11" t="str">
        <x:v>25ee8971ca49a5a5c49eaa03b0a06c0e7c1a809a1aaa8069780a8caa6c60b322</x:v>
      </x:c>
      <x:c r="I253" s="11" t="str"/>
      <x:c r="J253" s="11" t="str"/>
      <x:c r="K253" s="11" t="str">
        <x:v>historical/legacy-cf/legacy-cf-index.csv</x:v>
      </x:c>
    </x:row>
    <x:row r="254">
      <x:c r="A254" s="11" t="str">
        <x:v>LEGACY-014</x:v>
      </x:c>
      <x:c r="B254" s="11" t="str">
        <x:v>HISTORICAL_MANUSCRIPT</x:v>
      </x:c>
      <x:c r="C254" s="11" t="str">
        <x:v>2026-02-06</x:v>
      </x:c>
      <x:c r="D254" s="11" t="str">
        <x:v>CF11: Dark Sector Emergence from Metriplectic Dynamics</x:v>
      </x:c>
      <x:c r="E254" s="11" t="str">
        <x:v>CF11_Dark_Sector_Metriplectic_Complete.md</x:v>
      </x:c>
      <x:c r="F254" s="11" t="str">
        <x:v>Legacy CF</x:v>
      </x:c>
      <x:c r="G254" s="11" t="str">
        <x:v>Corrected rewrite (T1 formalism) — ready for T2 lattice validation + T3 cosmology regression</x:v>
      </x:c>
      <x:c r="H254" s="11" t="str">
        <x:v>a19d9e49c708dd2e36b71e53d170199ca113252759afa08452b055182e36c925</x:v>
      </x:c>
      <x:c r="I254" s="11" t="str"/>
      <x:c r="J254" s="11" t="str"/>
      <x:c r="K254" s="11" t="str">
        <x:v>historical/legacy-cf/legacy-cf-index.csv</x:v>
      </x:c>
    </x:row>
    <x:row r="255">
      <x:c r="A255" s="11" t="str">
        <x:v>LEGACY-015</x:v>
      </x:c>
      <x:c r="B255" s="11" t="str">
        <x:v>HISTORICAL_MANUSCRIPT</x:v>
      </x:c>
      <x:c r="C255" s="11" t="str"/>
      <x:c r="D255" s="11" t="str">
        <x:v>CF12 — Theorem Skeleton v1</x:v>
      </x:c>
      <x:c r="E255" s="11" t="str">
        <x:v>CF12_Gravity_Black-Holes_Thermodynamics.md</x:v>
      </x:c>
      <x:c r="F255" s="11" t="str">
        <x:v>Legacy CF</x:v>
      </x:c>
      <x:c r="G255" s="11" t="str"/>
      <x:c r="H255" s="11" t="str">
        <x:v>e4b045e7abc8fac4ca8ce916c7deda6bf88589e29ab2f0eca55d10fe5a814cd9</x:v>
      </x:c>
      <x:c r="I255" s="11" t="str"/>
      <x:c r="J255" s="11" t="str"/>
      <x:c r="K255" s="11" t="str">
        <x:v>historical/legacy-cf/legacy-cf-index.csv</x:v>
      </x:c>
    </x:row>
    <x:row r="256">
      <x:c r="A256" s="11" t="str">
        <x:v>LEGACY-016</x:v>
      </x:c>
      <x:c r="B256" s="11" t="str">
        <x:v>HISTORICAL_MANUSCRIPT</x:v>
      </x:c>
      <x:c r="C256" s="11" t="str">
        <x:v>March 18, 2026</x:v>
      </x:c>
      <x:c r="D256" s="11" t="str">
        <x:v>CF13: COMPLETE FORMALISM --- $ pi$, TRANSCENDENCE,  
CHIRALITY, AND THE NIELSEN--NINOMIYA THEOREM  
FROM THE PRIMITIVE BIFURCATION INVARIANT</x:v>
      </x:c>
      <x:c r="E256" s="11" t="str">
        <x:v>CF13_Pi_Transcendence_Chirality_and_NN_From_Bifurcation.tex</x:v>
      </x:c>
      <x:c r="F256" s="11" t="str">
        <x:v>Legacy CF</x:v>
      </x:c>
      <x:c r="G256" s="11" t="str"/>
      <x:c r="H256" s="11" t="str">
        <x:v>026e24f2fe7f131b87dbf70cf9a2f7d7e3adb2537ebd848b627fd35aeea4d0a1</x:v>
      </x:c>
      <x:c r="I256" s="11" t="str"/>
      <x:c r="J256" s="11" t="str"/>
      <x:c r="K256" s="11" t="str">
        <x:v>historical/legacy-cf/legacy-cf-index.csv</x:v>
      </x:c>
    </x:row>
    <x:row r="257">
      <x:c r="A257" s="11" t="str">
        <x:v>LEGACY-017</x:v>
      </x:c>
      <x:c r="B257" s="11" t="str">
        <x:v>HISTORICAL_MANUSCRIPT</x:v>
      </x:c>
      <x:c r="C257" s="11" t="str">
        <x:v>March 18, 2026</x:v>
      </x:c>
      <x:c r="D257" s="11" t="str">
        <x:v>CF14 — Principle of Least Action as Minimum Saturation Requirement</x:v>
      </x:c>
      <x:c r="E257" s="11" t="str">
        <x:v>CF14_Principle_of_Least_Action_as_Minimum_Saturation_DRAFT.md</x:v>
      </x:c>
      <x:c r="F257" s="11" t="str">
        <x:v>Legacy CF</x:v>
      </x:c>
      <x:c r="G257" s="11" t="str">
        <x:v>NOTES — pre-scaffold, awaiting formalization</x:v>
      </x:c>
      <x:c r="H257" s="11" t="str">
        <x:v>51187fd98394a40e50ef8ef17cbbe0eaaec57c83088c38472774aa944e85c2d8</x:v>
      </x:c>
      <x:c r="I257" s="11" t="str"/>
      <x:c r="J257" s="11" t="str"/>
      <x:c r="K257" s="11" t="str">
        <x:v>historical/legacy-cf/legacy-cf-index.csv</x:v>
      </x:c>
    </x:row>
    <x:row r="258">
      <x:c r="A258" s="11" t="str">
        <x:v>LEGACY-018</x:v>
      </x:c>
      <x:c r="B258" s="11" t="str">
        <x:v>HISTORICAL_MANUSCRIPT</x:v>
      </x:c>
      <x:c r="C258" s="11" t="str"/>
      <x:c r="D258" s="11" t="str">
        <x:v>CF15_Noethers_Invariant_as_Articulation_Cost</x:v>
      </x:c>
      <x:c r="E258" s="11" t="str">
        <x:v>CF15_Noethers_Invariant_as_Articulation_Cost.pdf</x:v>
      </x:c>
      <x:c r="F258" s="11" t="str">
        <x:v>Legacy CF</x:v>
      </x:c>
      <x:c r="G258" s="11" t="str"/>
      <x:c r="H258" s="11" t="str">
        <x:v>0574c00c18803044fe44c699655432b94dd45f37ebe0998b099e752e519f9b31</x:v>
      </x:c>
      <x:c r="I258" s="11" t="str"/>
      <x:c r="J258" s="11" t="str"/>
      <x:c r="K258" s="11" t="str">
        <x:v>historical/legacy-cf/legacy-cf-index.csv</x:v>
      </x:c>
    </x:row>
    <x:row r="259">
      <x:c r="A259" s="11" t="str">
        <x:v>LEGACY-019</x:v>
      </x:c>
      <x:c r="B259" s="11" t="str">
        <x:v>HISTORICAL_MANUSCRIPT</x:v>
      </x:c>
      <x:c r="C259" s="11" t="str">
        <x:v>2026-03-20</x:v>
      </x:c>
      <x:c r="D259" s="11" t="str">
        <x:v>CF16 Plan — Electroweak Fiber Splitting, Chiral Weak Coupling, and Gauge Mixing in VDM</x:v>
      </x:c>
      <x:c r="E259" s="11" t="str">
        <x:v>CF16_Electroweak_Closure_Plan.md</x:v>
      </x:c>
      <x:c r="F259" s="11" t="str">
        <x:v>Legacy CF</x:v>
      </x:c>
      <x:c r="G259" s="11" t="str">
        <x:v>Revised planning document</x:v>
      </x:c>
      <x:c r="H259" s="11" t="str">
        <x:v>c56dbec503d27a3460611491bed60b22b7d9321ba4f0f6c50f190d0b0a9d524f</x:v>
      </x:c>
      <x:c r="I259" s="11" t="str"/>
      <x:c r="J259" s="11" t="str"/>
      <x:c r="K259" s="11" t="str">
        <x:v>historical/legacy-cf/legacy-cf-index.csv</x:v>
      </x:c>
    </x:row>
    <x:row r="260">
      <x:c r="A260" s="11" t="str">
        <x:v>LEGACY-020</x:v>
      </x:c>
      <x:c r="B260" s="11" t="str">
        <x:v>HISTORICAL_MANUSCRIPT</x:v>
      </x:c>
      <x:c r="C260" s="11" t="str">
        <x:v>2026-03-20</x:v>
      </x:c>
      <x:c r="D260" s="11" t="str">
        <x:v>CF17 Plan — Non-Abelian Saturation, Flux Tubes, and Quantitative Confinement in VDM</x:v>
      </x:c>
      <x:c r="E260" s="11" t="str">
        <x:v>CF17_QCD_Confinement_Closure_Plan.md</x:v>
      </x:c>
      <x:c r="F260" s="11" t="str">
        <x:v>Legacy CF</x:v>
      </x:c>
      <x:c r="G260" s="11" t="str">
        <x:v>Revised planning document</x:v>
      </x:c>
      <x:c r="H260" s="11" t="str">
        <x:v>4746699f77106dcec667762283f573426912bec5d748691140a23aea6629e376</x:v>
      </x:c>
      <x:c r="I260" s="11" t="str"/>
      <x:c r="J260" s="11" t="str"/>
      <x:c r="K260" s="11" t="str">
        <x:v>historical/legacy-cf/legacy-cf-index.csv</x:v>
      </x:c>
    </x:row>
    <x:row r="261">
      <x:c r="A261" s="11" t="str">
        <x:v>LEGACY-021</x:v>
      </x:c>
      <x:c r="B261" s="11" t="str">
        <x:v>HISTORICAL_MANUSCRIPT</x:v>
      </x:c>
      <x:c r="C261" s="11" t="str">
        <x:v>2026-03-20</x:v>
      </x:c>
      <x:c r="D261" s="11" t="str">
        <x:v>CF18 Plan — Radiative Corrections, Effective Action, and Running Couplings in VDM</x:v>
      </x:c>
      <x:c r="E261" s="11" t="str">
        <x:v>CF18_Quantum_Corrections_and_Running_Couplings_Plan.md</x:v>
      </x:c>
      <x:c r="F261" s="11" t="str">
        <x:v>Legacy CF</x:v>
      </x:c>
      <x:c r="G261" s="11" t="str">
        <x:v>Revised planning document</x:v>
      </x:c>
      <x:c r="H261" s="11" t="str">
        <x:v>35fe25c637eb9967b72210731f55fe498333f179c6de2d78a72afc09d3151439</x:v>
      </x:c>
      <x:c r="I261" s="11" t="str"/>
      <x:c r="J261" s="11" t="str"/>
      <x:c r="K261" s="11" t="str">
        <x:v>historical/legacy-cf/legacy-cf-index.csv</x:v>
      </x:c>
    </x:row>
    <x:row r="262">
      <x:c r="A262" s="11" t="str">
        <x:v>SRC-REACH-001</x:v>
      </x:c>
      <x:c r="B262" s="11" t="str">
        <x:v>SOURCE_ARTIFACT</x:v>
      </x:c>
      <x:c r="C262" s="11" t="str"/>
      <x:c r="D262" s="11" t="str">
        <x:v>public reach/release ledger</x:v>
      </x:c>
      <x:c r="E262" s="11" t="str">
        <x:v>79cb242cb97582e4dadd89dfc2b7b8d76368960caa25f9ee6c109ebab8bb5d34</x:v>
      </x:c>
      <x:c r="F262" s="11" t="str">
        <x:v>20260907_reach.ods</x:v>
      </x:c>
      <x:c r="G262" s="11" t="str">
        <x:v>SOURCE</x:v>
      </x:c>
      <x:c r="H262" s="11" t="str">
        <x:v>79cb242cb97582e4dadd89dfc2b7b8d76368960caa25f9ee6c109ebab8bb5d34</x:v>
      </x:c>
      <x:c r="I262" s="11" t="str">
        <x:v>public/reach/20260907_reach.ods</x:v>
      </x:c>
      <x:c r="J262" s="11" t="str"/>
      <x:c r="K262" s="11" t="str">
        <x:v>source-index/source-artifact-index.csv</x:v>
      </x:c>
    </x:row>
    <x:row r="263">
      <x:c r="A263" s="11" t="str">
        <x:v>SRC-ORCH-001</x:v>
      </x:c>
      <x:c r="B263" s="11" t="str">
        <x:v>SOURCE_ARTIFACT</x:v>
      </x:c>
      <x:c r="C263" s="11" t="str"/>
      <x:c r="D263" s="11" t="str">
        <x:v>ORCHESTRA Research Package Template v2.0</x:v>
      </x:c>
      <x:c r="E263" s="11" t="str">
        <x:v>d669d2079a63a94f43857b1222fefaa0b022c86519c939a997858aa4947915fe</x:v>
      </x:c>
      <x:c r="F263" s="11" t="str">
        <x:v>CANONICAL_STANDARDS(1).zip</x:v>
      </x:c>
      <x:c r="G263" s="11" t="str">
        <x:v>METHODOLOGY_SOURCE</x:v>
      </x:c>
      <x:c r="H263" s="11" t="str">
        <x:v>d669d2079a63a94f43857b1222fefaa0b022c86519c939a997858aa4947915fe</x:v>
      </x:c>
      <x:c r="I263" s="11" t="str">
        <x:v>methodology/ORCHESTRA/documents/</x:v>
      </x:c>
      <x:c r="J263" s="11" t="str"/>
      <x:c r="K263" s="11" t="str">
        <x:v>source-index/source-artifact-index.csv</x:v>
      </x:c>
    </x:row>
    <x:row r="264">
      <x:c r="A264" s="11" t="str">
        <x:v>SRC-ORCH-002</x:v>
      </x:c>
      <x:c r="B264" s="11" t="str">
        <x:v>SOURCE_ARTIFACT</x:v>
      </x:c>
      <x:c r="C264" s="11" t="str"/>
      <x:c r="D264" s="11" t="str">
        <x:v>ORCHESTRA Publication Package Template v2.0</x:v>
      </x:c>
      <x:c r="E264" s="11" t="str">
        <x:v>880014f789f4232b306f83dad1558f82fa19df9ffcfac7168fdb89a0675aa0e7</x:v>
      </x:c>
      <x:c r="F264" s="11" t="str">
        <x:v>CANONICAL_STANDARDS(1).zip</x:v>
      </x:c>
      <x:c r="G264" s="11" t="str">
        <x:v>METHODOLOGY_SOURCE</x:v>
      </x:c>
      <x:c r="H264" s="11" t="str">
        <x:v>880014f789f4232b306f83dad1558f82fa19df9ffcfac7168fdb89a0675aa0e7</x:v>
      </x:c>
      <x:c r="I264" s="11" t="str">
        <x:v>methodology/ORCHESTRA/documents/</x:v>
      </x:c>
      <x:c r="J264" s="11" t="str"/>
      <x:c r="K264" s="11" t="str">
        <x:v>source-index/source-artifact-index.csv</x:v>
      </x:c>
    </x:row>
    <x:row r="265">
      <x:c r="A265" s="11" t="str">
        <x:v>SRC-ORCH-003</x:v>
      </x:c>
      <x:c r="B265" s="11" t="str">
        <x:v>SOURCE_ARTIFACT</x:v>
      </x:c>
      <x:c r="C265" s="11" t="str"/>
      <x:c r="D265" s="11" t="str">
        <x:v>Research and Evidence Standard v1.0.1</x:v>
      </x:c>
      <x:c r="E265" s="11" t="str">
        <x:v>ead6071e69929376f52061c3bdf17cfb7befaae25c1aa936b4474f09cd81a4f9</x:v>
      </x:c>
      <x:c r="F265" s="11" t="str">
        <x:v>CANONICAL_STANDARDS(1).zip</x:v>
      </x:c>
      <x:c r="G265" s="11" t="str">
        <x:v>METHODOLOGY_SOURCE</x:v>
      </x:c>
      <x:c r="H265" s="11" t="str">
        <x:v>ead6071e69929376f52061c3bdf17cfb7befaae25c1aa936b4474f09cd81a4f9</x:v>
      </x:c>
      <x:c r="I265" s="11" t="str">
        <x:v>methodology/ORCHESTRA/documents/RESEARCH_AND_EVIDENCE_STANDARD_v1.0.1_20260821.md</x:v>
      </x:c>
      <x:c r="J265" s="11" t="str"/>
      <x:c r="K265" s="11" t="str">
        <x:v>source-index/source-artifact-index.csv</x:v>
      </x:c>
    </x:row>
    <x:row r="266">
      <x:c r="A266" s="11" t="str">
        <x:v>SRC-ORCH-004</x:v>
      </x:c>
      <x:c r="B266" s="11" t="str">
        <x:v>SOURCE_ARTIFACT</x:v>
      </x:c>
      <x:c r="C266" s="11" t="str"/>
      <x:c r="D266" s="11" t="str">
        <x:v>Ancestor Custody Workflow Upgrade v1.0</x:v>
      </x:c>
      <x:c r="E266" s="11" t="str">
        <x:v>70dcd1c006c8400579c329e55ead5477334e47a135338fd5bf1a3b1f71c6d2c4</x:v>
      </x:c>
      <x:c r="F266" s="11" t="str">
        <x:v>CANONICAL_STANDARDS(1).zip</x:v>
      </x:c>
      <x:c r="G266" s="11" t="str">
        <x:v>METHODOLOGY_SOURCE</x:v>
      </x:c>
      <x:c r="H266" s="11" t="str">
        <x:v>70dcd1c006c8400579c329e55ead5477334e47a135338fd5bf1a3b1f71c6d2c4</x:v>
      </x:c>
      <x:c r="I266" s="11" t="str">
        <x:v>methodology/ORCHESTRA/documents/</x:v>
      </x:c>
      <x:c r="J266" s="11" t="str"/>
      <x:c r="K266" s="11" t="str">
        <x:v>source-index/source-artifact-index.csv</x:v>
      </x:c>
    </x:row>
    <x:row r="267">
      <x:c r="A267" s="11" t="str">
        <x:v>SRC-PC-001</x:v>
      </x:c>
      <x:c r="B267" s="11" t="str">
        <x:v>SOURCE_ARTIFACT</x:v>
      </x:c>
      <x:c r="C267" s="11" t="str"/>
      <x:c r="D267" s="11" t="str">
        <x:v>PHASE-CALCULUS-DERIVATION-STANDARDS.md</x:v>
      </x:c>
      <x:c r="E267" s="11" t="str">
        <x:v>2757afca2a33df1f5cfe14a6c6b818e8f10b3fcfe458fdd723a8e59e6ef643d0</x:v>
      </x:c>
      <x:c r="F267" s="11" t="str">
        <x:v>CANONICAL_STANDARDS(1).zip</x:v>
      </x:c>
      <x:c r="G267" s="11" t="str">
        <x:v>REVIEW_BEFORE_CANON</x:v>
      </x:c>
      <x:c r="H267" s="11" t="str">
        <x:v>2757afca2a33df1f5cfe14a6c6b818e8f10b3fcfe458fdd723a8e59e6ef643d0</x:v>
      </x:c>
      <x:c r="I267" s="11" t="str"/>
      <x:c r="J267" s="11" t="str"/>
      <x:c r="K267" s="11" t="str">
        <x:v>source-index/source-artifact-index.csv</x:v>
      </x:c>
    </x:row>
    <x:row r="268">
      <x:c r="A268" s="11" t="str">
        <x:v>SRC-PC-002</x:v>
      </x:c>
      <x:c r="B268" s="11" t="str">
        <x:v>SOURCE_ARTIFACT</x:v>
      </x:c>
      <x:c r="C268" s="11" t="str"/>
      <x:c r="D268" s="11" t="str">
        <x:v>Capacity-Coordinated Inverse Seed Law Working Note v0.3</x:v>
      </x:c>
      <x:c r="E268" s="11" t="str">
        <x:v>9150bed4a3f3b336b7c9cf6a6ee5457191080b6d959d52817c4210bfdb3e5024</x:v>
      </x:c>
      <x:c r="F268" s="11" t="str">
        <x:v>direct upload</x:v>
      </x:c>
      <x:c r="G268" s="11" t="str">
        <x:v>WORKING_NOTE</x:v>
      </x:c>
      <x:c r="H268" s="11" t="str">
        <x:v>9150bed4a3f3b336b7c9cf6a6ee5457191080b6d959d52817c4210bfdb3e5024</x:v>
      </x:c>
      <x:c r="I268" s="11" t="str">
        <x:v>records/phase-calculus/Capacity_Coordinated_Inverse_Seed_Law_Working_Note_v0.3.docx</x:v>
      </x:c>
      <x:c r="J268" s="11" t="str"/>
      <x:c r="K268" s="11" t="str">
        <x:v>source-index/source-artifact-index.csv</x:v>
      </x:c>
    </x:row>
    <x:row r="269">
      <x:c r="A269" s="11" t="str">
        <x:v>SRC-CX-001</x:v>
      </x:c>
      <x:c r="B269" s="11" t="str">
        <x:v>SOURCE_ARTIFACT</x:v>
      </x:c>
      <x:c r="C269" s="11" t="str"/>
      <x:c r="D269" s="11" t="str">
        <x:v>Cortex Engine Retained Baseline 2026-07-26</x:v>
      </x:c>
      <x:c r="E269" s="11" t="str">
        <x:v>8b1e6b8511321db005f453749df284465a31f3b021ba4ef684cdf37cb082daa8</x:v>
      </x:c>
      <x:c r="F269" s="11" t="str">
        <x:v>direct upload</x:v>
      </x:c>
      <x:c r="G269" s="11" t="str">
        <x:v>HISTORICAL_BASELINE</x:v>
      </x:c>
      <x:c r="H269" s="11" t="str">
        <x:v>8b1e6b8511321db005f453749df284465a31f3b021ba4ef684cdf37cb082daa8</x:v>
      </x:c>
      <x:c r="I269" s="11" t="str">
        <x:v>records/cortex/CORTEX_ENGINE_RETAINED_BASELINE_20260726.md</x:v>
      </x:c>
      <x:c r="J269" s="11" t="str"/>
      <x:c r="K269" s="11" t="str">
        <x:v>source-index/source-artifact-index.csv</x:v>
      </x:c>
    </x:row>
    <x:row r="270">
      <x:c r="A270" s="11" t="str">
        <x:v>SRC-VLL-001</x:v>
      </x:c>
      <x:c r="B270" s="11" t="str">
        <x:v>SOURCE_ARTIFACT</x:v>
      </x:c>
      <x:c r="C270" s="11" t="str"/>
      <x:c r="D270" s="11" t="str">
        <x:v>VLL Rung1 Mechanism Decision v0.3</x:v>
      </x:c>
      <x:c r="E270" s="11" t="str">
        <x:v>f2cef32273202d59218409b24699c9410b2a0e228eaf67accc6d2b0d228a5228</x:v>
      </x:c>
      <x:c r="F270" s="11" t="str">
        <x:v>VLL_Rung.zip</x:v>
      </x:c>
      <x:c r="G270" s="11" t="str">
        <x:v>RESEARCH_EVIDENCE</x:v>
      </x:c>
      <x:c r="H270" s="11" t="str">
        <x:v>f2cef32273202d59218409b24699c9410b2a0e228eaf67accc6d2b0d228a5228</x:v>
      </x:c>
      <x:c r="I270" s="11" t="str">
        <x:v>records/vll/VLL_Rung1_Mechanism_Decision_v0.3.md</x:v>
      </x:c>
      <x:c r="J270" s="11" t="str"/>
      <x:c r="K270" s="11" t="str">
        <x:v>source-index/source-artifact-index.csv</x:v>
      </x:c>
    </x:row>
    <x:row r="271">
      <x:c r="A271" s="11" t="str">
        <x:v>SRC-AC-001</x:v>
      </x:c>
      <x:c r="B271" s="11" t="str">
        <x:v>SOURCE_ARTIFACT</x:v>
      </x:c>
      <x:c r="C271" s="11" t="str"/>
      <x:c r="D271" s="11" t="str">
        <x:v>project-status.md</x:v>
      </x:c>
      <x:c r="E271" s="11" t="str">
        <x:v>41b6744d34e56e0267b38e09d5e0362abd06ed3334641a3bc6128f0b429996c9</x:v>
      </x:c>
      <x:c r="F271" s="11" t="str">
        <x:v>Analogistical-Constructivism.zip</x:v>
      </x:c>
      <x:c r="G271" s="11" t="str">
        <x:v>HISTORICAL_STATUS</x:v>
      </x:c>
      <x:c r="H271" s="11" t="str">
        <x:v>41b6744d34e56e0267b38e09d5e0362abd06ed3334641a3bc6128f0b429996c9</x:v>
      </x:c>
      <x:c r="I271" s="11" t="str">
        <x:v>records/analogistical-constructivism/project-status.md</x:v>
      </x:c>
      <x:c r="J271" s="11" t="str"/>
      <x:c r="K271" s="11" t="str">
        <x:v>source-index/source-artifact-index.csv</x:v>
      </x:c>
    </x:row>
    <x:row r="272">
      <x:c r="A272" s="11" t="str">
        <x:v>ARCHIVE-001</x:v>
      </x:c>
      <x:c r="B272" s="11" t="str">
        <x:v>SOURCE_ARTIFACT</x:v>
      </x:c>
      <x:c r="C272" s="11" t="str"/>
      <x:c r="D272" s="11" t="str">
        <x:v>private source archive</x:v>
      </x:c>
      <x:c r="E272" s="11" t="str">
        <x:v>b33074a89f9dd3de35f06b1f882505bf0f6725eaf4220ede75ca2bd8c32bdfcd</x:v>
      </x:c>
      <x:c r="F272" s="11" t="str">
        <x:v>CANONICAL_STANDARDS(1).zip</x:v>
      </x:c>
      <x:c r="G272" s="11" t="str">
        <x:v>HASH_ANCHOR</x:v>
      </x:c>
      <x:c r="H272" s="11" t="str">
        <x:v>b33074a89f9dd3de35f06b1f882505bf0f6725eaf4220ede75ca2bd8c32bdfcd</x:v>
      </x:c>
      <x:c r="I272" s="11" t="str"/>
      <x:c r="J272" s="11" t="str"/>
      <x:c r="K272" s="11" t="str">
        <x:v>source-index/source-artifact-index.csv</x:v>
      </x:c>
    </x:row>
    <x:row r="273">
      <x:c r="A273" s="11" t="str">
        <x:v>ARCHIVE-002</x:v>
      </x:c>
      <x:c r="B273" s="11" t="str">
        <x:v>SOURCE_ARTIFACT</x:v>
      </x:c>
      <x:c r="C273" s="11" t="str"/>
      <x:c r="D273" s="11" t="str">
        <x:v>private source archive</x:v>
      </x:c>
      <x:c r="E273" s="11" t="str">
        <x:v>cac59e792408450e5079c68e1fdd133d5422c64ebb1a18737bc521e7f45d6ad2</x:v>
      </x:c>
      <x:c r="F273" s="11" t="str">
        <x:v>VLL_Rung.zip</x:v>
      </x:c>
      <x:c r="G273" s="11" t="str">
        <x:v>HASH_ANCHOR</x:v>
      </x:c>
      <x:c r="H273" s="11" t="str">
        <x:v>cac59e792408450e5079c68e1fdd133d5422c64ebb1a18737bc521e7f45d6ad2</x:v>
      </x:c>
      <x:c r="I273" s="11" t="str"/>
      <x:c r="J273" s="11" t="str"/>
      <x:c r="K273" s="11" t="str">
        <x:v>source-index/source-artifact-index.csv</x:v>
      </x:c>
    </x:row>
    <x:row r="274">
      <x:c r="A274" s="11" t="str">
        <x:v>ARCHIVE-003</x:v>
      </x:c>
      <x:c r="B274" s="11" t="str">
        <x:v>SOURCE_ARTIFACT</x:v>
      </x:c>
      <x:c r="C274" s="11" t="str"/>
      <x:c r="D274" s="11" t="str">
        <x:v>private source archive</x:v>
      </x:c>
      <x:c r="E274" s="11" t="str">
        <x:v>6fff5b82b5de63634809d5511f9bd01552342faf9b2045b7243f9d4b1b1595d4</x:v>
      </x:c>
      <x:c r="F274" s="11" t="str">
        <x:v>Analogistical-Constructivism.zip</x:v>
      </x:c>
      <x:c r="G274" s="11" t="str">
        <x:v>HASH_ANCHOR</x:v>
      </x:c>
      <x:c r="H274" s="11" t="str">
        <x:v>6fff5b82b5de63634809d5511f9bd01552342faf9b2045b7243f9d4b1b1595d4</x:v>
      </x:c>
      <x:c r="I274" s="11" t="str"/>
      <x:c r="J274" s="11" t="str"/>
      <x:c r="K274" s="11" t="str">
        <x:v>source-index/source-artifact-index.csv</x:v>
      </x:c>
    </x:row>
    <x:row r="275">
      <x:c r="A275" s="11" t="str">
        <x:v>ARCHIVE-004</x:v>
      </x:c>
      <x:c r="B275" s="11" t="str">
        <x:v>SOURCE_ARTIFACT</x:v>
      </x:c>
      <x:c r="C275" s="11" t="str"/>
      <x:c r="D275" s="11" t="str">
        <x:v>legacy manuscript archive</x:v>
      </x:c>
      <x:c r="E275" s="11" t="str">
        <x:v>7a0b22c9006f76988f30b1a1f89f9ccf464666ca36b7dddc2e133e67d77cf303</x:v>
      </x:c>
      <x:c r="F275" s="11" t="str">
        <x:v>Legacy-Markdown-CFs.zip</x:v>
      </x:c>
      <x:c r="G275" s="11" t="str">
        <x:v>HASH_ANCHOR</x:v>
      </x:c>
      <x:c r="H275" s="11" t="str">
        <x:v>7a0b22c9006f76988f30b1a1f89f9ccf464666ca36b7dddc2e133e67d77cf303</x:v>
      </x:c>
      <x:c r="I275" s="11" t="str"/>
      <x:c r="J275" s="11" t="str"/>
      <x:c r="K275" s="11" t="str">
        <x:v>source-index/source-artifact-index.csv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62" hidden="0" customWidth="1"/>
    <x:col min="3" max="3" width="16" hidden="0" customWidth="1"/>
    <x:col min="4" max="4" width="16" hidden="0" customWidth="1"/>
    <x:col min="5" max="5" width="40" hidden="0" customWidth="1"/>
    <x:col min="6" max="6" width="44" hidden="0" customWidth="1"/>
    <x:col min="7" max="7" width="28" hidden="0" customWidth="1"/>
    <x:col min="8" max="8" width="44" hidden="0" customWidth="1"/>
  </x:cols>
  <x:sheetData>
    <x:row r="1">
      <x:c r="A1" s="41" t="str">
        <x:v>file</x:v>
      </x:c>
      <x:c r="B1" s="41" t="str">
        <x:v>title</x:v>
      </x:c>
      <x:c r="C1" s="41" t="str">
        <x:v>internal_date</x:v>
      </x:c>
      <x:c r="D1" s="41" t="str">
        <x:v>revision</x:v>
      </x:c>
      <x:c r="E1" s="41" t="str">
        <x:v>historical_status</x:v>
      </x:c>
      <x:c r="F1" s="41" t="str">
        <x:v>sha256</x:v>
      </x:c>
      <x:c r="G1" s="41" t="str">
        <x:v>source_archive</x:v>
      </x:c>
      <x:c r="H1" s="41" t="str">
        <x:v>source_archive_sha256</x:v>
      </x:c>
    </x:row>
    <x:row r="2">
      <x:c r="A2" s="11" t="str">
        <x:v>A-1_Primitive_Bifurcation_Spec.md</x:v>
      </x:c>
      <x:c r="B2" s="11" t="str">
        <x:v>Definitions and Mechanisms of the Primitive Bifurcation Law</x:v>
      </x:c>
      <x:c r="C2" s="11" t="str"/>
      <x:c r="D2" s="11" t="str"/>
      <x:c r="E2" s="11" t="str"/>
      <x:c r="F2" s="11" t="str">
        <x:v>e768a1138889abe6ecbf9af519a4498c36cb61027371272cfa8546a8ad70ef52</x:v>
      </x:c>
      <x:c r="G2" s="11" t="str">
        <x:v>Legacy-Markdown-CFs.zip</x:v>
      </x:c>
      <x:c r="H2" s="11" t="str">
        <x:v>7a0b22c9006f76988f30b1a1f89f9ccf464666ca36b7dddc2e133e67d77cf303</x:v>
      </x:c>
    </x:row>
    <x:row r="3">
      <x:c r="A3" s="11" t="str">
        <x:v>CF000_Primitive_Distinguishability_and_the_Origin_of_Differentiability.md</x:v>
      </x:c>
      <x:c r="B3" s="11" t="str">
        <x:v>CF000: Complete Formalism — Primitive Distinguishability and the Origin of Differentiability in VDM</x:v>
      </x:c>
      <x:c r="C3" s="11" t="str">
        <x:v>2026-03-14</x:v>
      </x:c>
      <x:c r="D3" s="11" t="str"/>
      <x:c r="E3" s="11" t="str">
        <x:v>Proved.</x:v>
      </x:c>
      <x:c r="F3" s="11" t="str">
        <x:v>3c568c21d7264e3833a86907c346a084a663aa5957c4d6848be439c5e1e0ca5e</x:v>
      </x:c>
      <x:c r="G3" s="11" t="str">
        <x:v>Legacy-Markdown-CFs.zip</x:v>
      </x:c>
      <x:c r="H3" s="11" t="str">
        <x:v>7a0b22c9006f76988f30b1a1f89f9ccf464666ca36b7dddc2e133e67d77cf303</x:v>
      </x:c>
    </x:row>
    <x:row r="4">
      <x:c r="A4" s="11" t="str">
        <x:v>CF00_Primitive_Origin_of_Induced_Geometry_and_Emergent_Dynamics.md</x:v>
      </x:c>
      <x:c r="B4" s="11" t="str">
        <x:v>CF00: Complete Formalism — Primitive Origin of Induced Geometry and Emergent Dynamics in VDM</x:v>
      </x:c>
      <x:c r="C4" s="11" t="str">
        <x:v>2026-03-08</x:v>
      </x:c>
      <x:c r="D4" s="11" t="str"/>
      <x:c r="E4" s="11" t="str">
        <x:v>Complete Formalism</x:v>
      </x:c>
      <x:c r="F4" s="11" t="str">
        <x:v>4dbdf9eb8e52f985720d4c95ed3746bef516a2145a35d17f5dbe170aac241961</x:v>
      </x:c>
      <x:c r="G4" s="11" t="str">
        <x:v>Legacy-Markdown-CFs.zip</x:v>
      </x:c>
      <x:c r="H4" s="11" t="str">
        <x:v>7a0b22c9006f76988f30b1a1f89f9ccf464666ca36b7dddc2e133e67d77cf303</x:v>
      </x:c>
    </x:row>
    <x:row r="5">
      <x:c r="A5" s="11" t="str">
        <x:v>CF01_QGT_to_Metriplectic_Brackets.md</x:v>
      </x:c>
      <x:c r="B5" s="11" t="str">
        <x:v>CF01: Complete Formalism — Quantum Geometric Tensor to Metriplectic Brackets</x:v>
      </x:c>
      <x:c r="C5" s="11" t="str">
        <x:v>2025-11-05</x:v>
      </x:c>
      <x:c r="D5" s="11" t="str">
        <x:v>2026-02-07 — tightened for CFN readiness</x:v>
      </x:c>
      <x:c r="E5" s="11" t="str">
        <x:v>Complete Derivation</x:v>
      </x:c>
      <x:c r="F5" s="11" t="str">
        <x:v>68eea832b9e748510e3fdbda5a8fecf52a623d68e4f831cebc673847c86bf230</x:v>
      </x:c>
      <x:c r="G5" s="11" t="str">
        <x:v>Legacy-Markdown-CFs.zip</x:v>
      </x:c>
      <x:c r="H5" s="11" t="str">
        <x:v>7a0b22c9006f76988f30b1a1f89f9ccf464666ca36b7dddc2e133e67d77cf303</x:v>
      </x:c>
    </x:row>
    <x:row r="6">
      <x:c r="A6" s="11" t="str">
        <x:v>CF02_Contact_to_Metriplectic_Evolution.md</x:v>
      </x:c>
      <x:c r="B6" s="11" t="str">
        <x:v>CF02: Complete Formalism — Contact Geometry to Metriplectic Evolution</x:v>
      </x:c>
      <x:c r="C6" s="11" t="str">
        <x:v>2025-11-05</x:v>
      </x:c>
      <x:c r="D6" s="11" t="str">
        <x:v>2026-02-07 — tightened for CFN readiness</x:v>
      </x:c>
      <x:c r="E6" s="11" t="str">
        <x:v>Complete Derivation</x:v>
      </x:c>
      <x:c r="F6" s="11" t="str">
        <x:v>a7f5071514fa3c949a50e214a25bde68a46ec5226470a909f22532097e7e7091</x:v>
      </x:c>
      <x:c r="G6" s="11" t="str">
        <x:v>Legacy-Markdown-CFs.zip</x:v>
      </x:c>
      <x:c r="H6" s="11" t="str">
        <x:v>7a0b22c9006f76988f30b1a1f89f9ccf464666ca36b7dddc2e133e67d77cf303</x:v>
      </x:c>
    </x:row>
    <x:row r="7">
      <x:c r="A7" s="11" t="str">
        <x:v>CF03_A8_Scaling_Hierarchical_Interfaces.md</x:v>
      </x:c>
      <x:c r="B7" s="11" t="str">
        <x:v>CF03: Complete Formalism — A8 Scaling Theorem (Hierarchical Tachyonic Interfaces)</x:v>
      </x:c>
      <x:c r="C7" s="11" t="str">
        <x:v>2025-11-05</x:v>
      </x:c>
      <x:c r="D7" s="11" t="str">
        <x:v>2026-02-07 — tightened for CFN readiness</x:v>
      </x:c>
      <x:c r="E7" s="11" t="str">
        <x:v>Complete Derivation</x:v>
      </x:c>
      <x:c r="F7" s="11" t="str">
        <x:v>7221201ae024a7fef28429bf447effcf108beb984a3226d30ebd7ea7f4c6257b</x:v>
      </x:c>
      <x:c r="G7" s="11" t="str">
        <x:v>Legacy-Markdown-CFs.zip</x:v>
      </x:c>
      <x:c r="H7" s="11" t="str">
        <x:v>7a0b22c9006f76988f30b1a1f89f9ccf464666ca36b7dddc2e133e67d77cf303</x:v>
      </x:c>
    </x:row>
    <x:row r="8">
      <x:c r="A8" s="11" t="str">
        <x:v>CF04_Telegraph_Fisher_Causality.md</x:v>
      </x:c>
      <x:c r="B8" s="11" t="str">
        <x:v>CF04: Complete Formalism — Telegraph-Fisher Causality (Finite-Speed Transport)</x:v>
      </x:c>
      <x:c r="C8" s="11" t="str">
        <x:v>2025-11-05</x:v>
      </x:c>
      <x:c r="D8" s="11" t="str">
        <x:v>2026-02-07 — tightened for CFN readiness</x:v>
      </x:c>
      <x:c r="E8" s="11" t="str">
        <x:v>Complete Derivation</x:v>
      </x:c>
      <x:c r="F8" s="11" t="str">
        <x:v>8a6173435140c2f92f4ac6870200fe57edea85ba96e98f32226be63a91d5de3e</x:v>
      </x:c>
      <x:c r="G8" s="11" t="str">
        <x:v>Legacy-Markdown-CFs.zip</x:v>
      </x:c>
      <x:c r="H8" s="11" t="str">
        <x:v>7a0b22c9006f76988f30b1a1f89f9ccf464666ca36b7dddc2e133e67d77cf303</x:v>
      </x:c>
    </x:row>
    <x:row r="9">
      <x:c r="A9" s="11" t="str">
        <x:v>CF05_Integrability_Closure.md</x:v>
      </x:c>
      <x:c r="B9" s="11" t="str">
        <x:v>CF05: Complete Formalism — Integrability Closure (No Hidden Conserved Quantities)</x:v>
      </x:c>
      <x:c r="C9" s="11" t="str">
        <x:v>2025-11-05</x:v>
      </x:c>
      <x:c r="D9" s="11" t="str">
        <x:v>2026-02-07 — tightened for CFN readiness</x:v>
      </x:c>
      <x:c r="E9" s="11" t="str">
        <x:v>Complete Derivation</x:v>
      </x:c>
      <x:c r="F9" s="11" t="str">
        <x:v>f865720dc3d2d2bfb5d99c39dd018cdd8f771cf5345336918f1d493ed601da71</x:v>
      </x:c>
      <x:c r="G9" s="11" t="str">
        <x:v>Legacy-Markdown-CFs.zip</x:v>
      </x:c>
      <x:c r="H9" s="11" t="str">
        <x:v>7a0b22c9006f76988f30b1a1f89f9ccf464666ca36b7dddc2e133e67d77cf303</x:v>
      </x:c>
    </x:row>
    <x:row r="10">
      <x:c r="A10" s="11" t="str">
        <x:v>CF06_Info_Geom_Fisher_Ruppeiner_Foundations.md</x:v>
      </x:c>
      <x:c r="B10" s="11" t="str">
        <x:v>CF06: Information Geometry Foundations — Fisher and Ruppeiner Metrics for VDM M-Limb</x:v>
      </x:c>
      <x:c r="C10" s="11" t="str">
        <x:v>2025-11-05</x:v>
      </x:c>
      <x:c r="D10" s="11" t="str">
        <x:v>2026-02-07 — tightened for CFN readiness</x:v>
      </x:c>
      <x:c r="E10" s="11" t="str">
        <x:v>Complete Derivation</x:v>
      </x:c>
      <x:c r="F10" s="11" t="str">
        <x:v>4bcec68906c71a8034cdd9a4143ae3811c35dac1a8122580969e26910a50cd00</x:v>
      </x:c>
      <x:c r="G10" s="11" t="str">
        <x:v>Legacy-Markdown-CFs.zip</x:v>
      </x:c>
      <x:c r="H10" s="11" t="str">
        <x:v>7a0b22c9006f76988f30b1a1f89f9ccf464666ca36b7dddc2e133e67d77cf303</x:v>
      </x:c>
    </x:row>
    <x:row r="11">
      <x:c r="A11" s="11" t="str">
        <x:v>CF07_Measurement_Theory_Decoherence_Born_Rule.md</x:v>
      </x:c>
      <x:c r="B11" s="11" t="str">
        <x:v>CF07: Measurement Theory Foundations — Decoherence and Born Rule for VDM</x:v>
      </x:c>
      <x:c r="C11" s="11" t="str">
        <x:v>2025-11-05</x:v>
      </x:c>
      <x:c r="D11" s="11" t="str">
        <x:v>2026-02-07 — tightened for CFN readiness</x:v>
      </x:c>
      <x:c r="E11" s="11" t="str">
        <x:v>Complete Derivation</x:v>
      </x:c>
      <x:c r="F11" s="11" t="str">
        <x:v>ff79b4677ae5d614a41706ef2327aba02056e7c3ea0f28e7653212d51dd7c061</x:v>
      </x:c>
      <x:c r="G11" s="11" t="str">
        <x:v>Legacy-Markdown-CFs.zip</x:v>
      </x:c>
      <x:c r="H11" s="11" t="str">
        <x:v>7a0b22c9006f76988f30b1a1f89f9ccf464666ca36b7dddc2e133e67d77cf303</x:v>
      </x:c>
    </x:row>
    <x:row r="12">
      <x:c r="A12" s="11" t="str">
        <x:v>CF08_Spinor_Emergence_Domain_Wall_Fermions.md</x:v>
      </x:c>
      <x:c r="B12" s="11" t="str">
        <x:v>CF08: Complete Formalism — Spinor Emergence via Domain-Wall Fermions in VDM</x:v>
      </x:c>
      <x:c r="C12" s="11" t="str">
        <x:v>2025-11-20</x:v>
      </x:c>
      <x:c r="D12" s="11" t="str"/>
      <x:c r="E12" s="11" t="str">
        <x:v>ACTIVE — Nielsen-Ninomiya Red Team Defense</x:v>
      </x:c>
      <x:c r="F12" s="11" t="str">
        <x:v>588a96efb1b1ddd05060bea97520f80d1c5d4d0ad7eb390e4789db0dfbd7d74f</x:v>
      </x:c>
      <x:c r="G12" s="11" t="str">
        <x:v>Legacy-Markdown-CFs.zip</x:v>
      </x:c>
      <x:c r="H12" s="11" t="str">
        <x:v>7a0b22c9006f76988f30b1a1f89f9ccf464666ca36b7dddc2e133e67d77cf303</x:v>
      </x:c>
    </x:row>
    <x:row r="13">
      <x:c r="A13" s="11" t="str">
        <x:v>CF09_Gauge_Emergence_Berry_Connection.md</x:v>
      </x:c>
      <x:c r="B13" s="11" t="str">
        <x:v>CF09: Complete Formalism — Gauge Field Emergence via Berry Connection in VDM</x:v>
      </x:c>
      <x:c r="C13" s="11" t="str">
        <x:v>2025-11-20</x:v>
      </x:c>
      <x:c r="D13" s="11" t="str">
        <x:v>2026-02-07 — tightened for CFN readiness</x:v>
      </x:c>
      <x:c r="E13" s="11" t="str">
        <x:v>ACTIVE — Weinberg-Witten Red Team Defense</x:v>
      </x:c>
      <x:c r="F13" s="11" t="str">
        <x:v>0c41fbe681cfffea9ba8fc54ac660640a05642b76fddc4af9a868f3a0a256113</x:v>
      </x:c>
      <x:c r="G13" s="11" t="str">
        <x:v>Legacy-Markdown-CFs.zip</x:v>
      </x:c>
      <x:c r="H13" s="11" t="str">
        <x:v>7a0b22c9006f76988f30b1a1f89f9ccf464666ca36b7dddc2e133e67d77cf303</x:v>
      </x:c>
    </x:row>
    <x:row r="14">
      <x:c r="A14" s="11" t="str">
        <x:v>CF10_Lattice_Fluids_Continuum_and_Regularity_Program.md</x:v>
      </x:c>
      <x:c r="B14" s="11" t="str">
        <x:v>CF10: Complete Formalism — VDM Lattice Hydrodynamics, Continuum Limit, and Regularity Program</x:v>
      </x:c>
      <x:c r="C14" s="11" t="str">
        <x:v>2025-11-27</x:v>
      </x:c>
      <x:c r="D14" s="11" t="str">
        <x:v>2026-02-07 — tightened for CFN readiness</x:v>
      </x:c>
      <x:c r="E14" s="11" t="str">
        <x:v>Program with Partial Derivations (NOT a complete proof of NS regularity)</x:v>
      </x:c>
      <x:c r="F14" s="11" t="str">
        <x:v>25ee8971ca49a5a5c49eaa03b0a06c0e7c1a809a1aaa8069780a8caa6c60b322</x:v>
      </x:c>
      <x:c r="G14" s="11" t="str">
        <x:v>Legacy-Markdown-CFs.zip</x:v>
      </x:c>
      <x:c r="H14" s="11" t="str">
        <x:v>7a0b22c9006f76988f30b1a1f89f9ccf464666ca36b7dddc2e133e67d77cf303</x:v>
      </x:c>
    </x:row>
    <x:row r="15">
      <x:c r="A15" s="11" t="str">
        <x:v>CF11_Dark_Sector_Metriplectic_Complete.md</x:v>
      </x:c>
      <x:c r="B15" s="11" t="str">
        <x:v>CF11: Dark Sector Emergence from Metriplectic Dynamics</x:v>
      </x:c>
      <x:c r="C15" s="11" t="str">
        <x:v>2026-02-06</x:v>
      </x:c>
      <x:c r="D15" s="11" t="str">
        <x:v>2026-02-07 — tightened for CFN readiness</x:v>
      </x:c>
      <x:c r="E15" s="11" t="str">
        <x:v>Corrected rewrite (T1 formalism) — ready for T2 lattice validation + T3 cosmology regression</x:v>
      </x:c>
      <x:c r="F15" s="11" t="str">
        <x:v>a19d9e49c708dd2e36b71e53d170199ca113252759afa08452b055182e36c925</x:v>
      </x:c>
      <x:c r="G15" s="11" t="str">
        <x:v>Legacy-Markdown-CFs.zip</x:v>
      </x:c>
      <x:c r="H15" s="11" t="str">
        <x:v>7a0b22c9006f76988f30b1a1f89f9ccf464666ca36b7dddc2e133e67d77cf303</x:v>
      </x:c>
    </x:row>
    <x:row r="16">
      <x:c r="A16" s="11" t="str">
        <x:v>CF12_Gravity_Black-Holes_Thermodynamics.md</x:v>
      </x:c>
      <x:c r="B16" s="11" t="str">
        <x:v>CF12 — Theorem Skeleton v1</x:v>
      </x:c>
      <x:c r="C16" s="11" t="str"/>
      <x:c r="D16" s="11" t="str"/>
      <x:c r="E16" s="11" t="str"/>
      <x:c r="F16" s="11" t="str">
        <x:v>e4b045e7abc8fac4ca8ce916c7deda6bf88589e29ab2f0eca55d10fe5a814cd9</x:v>
      </x:c>
      <x:c r="G16" s="11" t="str">
        <x:v>Legacy-Markdown-CFs.zip</x:v>
      </x:c>
      <x:c r="H16" s="11" t="str">
        <x:v>7a0b22c9006f76988f30b1a1f89f9ccf464666ca36b7dddc2e133e67d77cf303</x:v>
      </x:c>
    </x:row>
    <x:row r="17">
      <x:c r="A17" s="11" t="str">
        <x:v>CF13_Pi_Transcendence_Chirality_and_NN_From_Bifurcation.tex</x:v>
      </x:c>
      <x:c r="B17" s="11" t="str">
        <x:v>CF13: COMPLETE FORMALISM --- $ pi$, TRANSCENDENCE,  
CHIRALITY, AND THE NIELSEN--NINOMIYA THEOREM  
FROM THE PRIMITIVE BIFURCATION INVARIANT</x:v>
      </x:c>
      <x:c r="C17" s="11" t="str">
        <x:v>March 18, 2026</x:v>
      </x:c>
      <x:c r="D17" s="11" t="str"/>
      <x:c r="E17" s="11" t="str"/>
      <x:c r="F17" s="11" t="str">
        <x:v>026e24f2fe7f131b87dbf70cf9a2f7d7e3adb2537ebd848b627fd35aeea4d0a1</x:v>
      </x:c>
      <x:c r="G17" s="11" t="str">
        <x:v>Legacy-Markdown-CFs.zip</x:v>
      </x:c>
      <x:c r="H17" s="11" t="str">
        <x:v>7a0b22c9006f76988f30b1a1f89f9ccf464666ca36b7dddc2e133e67d77cf303</x:v>
      </x:c>
    </x:row>
    <x:row r="18">
      <x:c r="A18" s="11" t="str">
        <x:v>CF14_Principle_of_Least_Action_as_Minimum_Saturation_DRAFT.md</x:v>
      </x:c>
      <x:c r="B18" s="11" t="str">
        <x:v>CF14 — Principle of Least Action as Minimum Saturation Requirement</x:v>
      </x:c>
      <x:c r="C18" s="11" t="str">
        <x:v>March 18, 2026</x:v>
      </x:c>
      <x:c r="D18" s="11" t="str"/>
      <x:c r="E18" s="11" t="str">
        <x:v>NOTES — pre-scaffold, awaiting formalization</x:v>
      </x:c>
      <x:c r="F18" s="11" t="str">
        <x:v>51187fd98394a40e50ef8ef17cbbe0eaaec57c83088c38472774aa944e85c2d8</x:v>
      </x:c>
      <x:c r="G18" s="11" t="str">
        <x:v>Legacy-Markdown-CFs.zip</x:v>
      </x:c>
      <x:c r="H18" s="11" t="str">
        <x:v>7a0b22c9006f76988f30b1a1f89f9ccf464666ca36b7dddc2e133e67d77cf303</x:v>
      </x:c>
    </x:row>
    <x:row r="19">
      <x:c r="A19" s="11" t="str">
        <x:v>CF15_Noethers_Invariant_as_Articulation_Cost.pdf</x:v>
      </x:c>
      <x:c r="B19" s="11" t="str">
        <x:v>CF15_Noethers_Invariant_as_Articulation_Cost</x:v>
      </x:c>
      <x:c r="C19" s="11" t="str"/>
      <x:c r="D19" s="11" t="str"/>
      <x:c r="E19" s="11" t="str"/>
      <x:c r="F19" s="11" t="str">
        <x:v>0574c00c18803044fe44c699655432b94dd45f37ebe0998b099e752e519f9b31</x:v>
      </x:c>
      <x:c r="G19" s="11" t="str">
        <x:v>Legacy-Markdown-CFs.zip</x:v>
      </x:c>
      <x:c r="H19" s="11" t="str">
        <x:v>7a0b22c9006f76988f30b1a1f89f9ccf464666ca36b7dddc2e133e67d77cf303</x:v>
      </x:c>
    </x:row>
    <x:row r="20">
      <x:c r="A20" s="11" t="str">
        <x:v>CF16_Electroweak_Closure_Plan.md</x:v>
      </x:c>
      <x:c r="B20" s="11" t="str">
        <x:v>CF16 Plan — Electroweak Fiber Splitting, Chiral Weak Coupling, and Gauge Mixing in VDM</x:v>
      </x:c>
      <x:c r="C20" s="11" t="str">
        <x:v>2026-03-20</x:v>
      </x:c>
      <x:c r="D20" s="11" t="str"/>
      <x:c r="E20" s="11" t="str">
        <x:v>Revised planning document</x:v>
      </x:c>
      <x:c r="F20" s="11" t="str">
        <x:v>c56dbec503d27a3460611491bed60b22b7d9321ba4f0f6c50f190d0b0a9d524f</x:v>
      </x:c>
      <x:c r="G20" s="11" t="str">
        <x:v>Legacy-Markdown-CFs.zip</x:v>
      </x:c>
      <x:c r="H20" s="11" t="str">
        <x:v>7a0b22c9006f76988f30b1a1f89f9ccf464666ca36b7dddc2e133e67d77cf303</x:v>
      </x:c>
    </x:row>
    <x:row r="21">
      <x:c r="A21" s="11" t="str">
        <x:v>CF17_QCD_Confinement_Closure_Plan.md</x:v>
      </x:c>
      <x:c r="B21" s="11" t="str">
        <x:v>CF17 Plan — Non-Abelian Saturation, Flux Tubes, and Quantitative Confinement in VDM</x:v>
      </x:c>
      <x:c r="C21" s="11" t="str">
        <x:v>2026-03-20</x:v>
      </x:c>
      <x:c r="D21" s="11" t="str"/>
      <x:c r="E21" s="11" t="str">
        <x:v>Revised planning document</x:v>
      </x:c>
      <x:c r="F21" s="11" t="str">
        <x:v>4746699f77106dcec667762283f573426912bec5d748691140a23aea6629e376</x:v>
      </x:c>
      <x:c r="G21" s="11" t="str">
        <x:v>Legacy-Markdown-CFs.zip</x:v>
      </x:c>
      <x:c r="H21" s="11" t="str">
        <x:v>7a0b22c9006f76988f30b1a1f89f9ccf464666ca36b7dddc2e133e67d77cf303</x:v>
      </x:c>
    </x:row>
    <x:row r="22">
      <x:c r="A22" s="11" t="str">
        <x:v>CF18_Quantum_Corrections_and_Running_Couplings_Plan.md</x:v>
      </x:c>
      <x:c r="B22" s="11" t="str">
        <x:v>CF18 Plan — Radiative Corrections, Effective Action, and Running Couplings in VDM</x:v>
      </x:c>
      <x:c r="C22" s="11" t="str">
        <x:v>2026-03-20</x:v>
      </x:c>
      <x:c r="D22" s="11" t="str"/>
      <x:c r="E22" s="11" t="str">
        <x:v>Revised planning document</x:v>
      </x:c>
      <x:c r="F22" s="11" t="str">
        <x:v>35fe25c637eb9967b72210731f55fe498333f179c6de2d78a72afc09d3151439</x:v>
      </x:c>
      <x:c r="G22" s="11" t="str">
        <x:v>Legacy-Markdown-CFs.zip</x:v>
      </x:c>
      <x:c r="H22" s="11" t="str">
        <x:v>7a0b22c9006f76988f30b1a1f89f9ccf464666ca36b7dddc2e133e67d77cf303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55" hidden="0" customWidth="1"/>
    <x:col min="4" max="4" width="44" hidden="0" customWidth="1"/>
    <x:col min="5" max="5" width="24" hidden="0" customWidth="1"/>
    <x:col min="6" max="6" width="24" hidden="0" customWidth="1"/>
    <x:col min="7" max="7" width="18" hidden="0" customWidth="1"/>
    <x:col min="8" max="8" width="52" hidden="0" customWidth="1"/>
    <x:col min="9" max="9" width="16" hidden="0" customWidth="1"/>
    <x:col min="10" max="10" width="62" hidden="0" customWidth="1"/>
  </x:cols>
  <x:sheetData>
    <x:row r="1">
      <x:c r="A1" s="41" t="str">
        <x:v>Artifact_ID</x:v>
      </x:c>
      <x:c r="B1" s="41" t="str">
        <x:v>Source_Container</x:v>
      </x:c>
      <x:c r="C1" s="41" t="str">
        <x:v>Original_Path_or_Artifact</x:v>
      </x:c>
      <x:c r="D1" s="41" t="str">
        <x:v>SHA256</x:v>
      </x:c>
      <x:c r="E1" s="41" t="str">
        <x:v>Classification</x:v>
      </x:c>
      <x:c r="F1" s="41" t="str">
        <x:v>Authority_Status</x:v>
      </x:c>
      <x:c r="G1" s="41" t="str">
        <x:v>Public_Inclusion</x:v>
      </x:c>
      <x:c r="H1" s="41" t="str">
        <x:v>Copied_Path</x:v>
      </x:c>
      <x:c r="I1" s="41" t="str">
        <x:v>Staleness_Risk</x:v>
      </x:c>
      <x:c r="J1" s="41" t="str">
        <x:v>Why_Keep</x:v>
      </x:c>
    </x:row>
    <x:row r="2">
      <x:c r="A2" s="11" t="str">
        <x:v>SRC-REACH-001</x:v>
      </x:c>
      <x:c r="B2" s="11" t="str">
        <x:v>20260907_reach.ods</x:v>
      </x:c>
      <x:c r="C2" s="11" t="str">
        <x:v>public reach/release ledger</x:v>
      </x:c>
      <x:c r="D2" s="11" t="str">
        <x:v>79cb242cb97582e4dadd89dfc2b7b8d76368960caa25f9ee6c109ebab8bb5d34</x:v>
      </x:c>
      <x:c r="E2" s="11" t="str">
        <x:v>PUBLIC_LEDGER</x:v>
      </x:c>
      <x:c r="F2" s="11" t="str">
        <x:v>SOURCE</x:v>
      </x:c>
      <x:c r="G2" s="11" t="str">
        <x:v>INCLUDED</x:v>
      </x:c>
      <x:c r="H2" s="11" t="str">
        <x:v>public/reach/20260907_reach.ods</x:v>
      </x:c>
      <x:c r="I2" s="11" t="str">
        <x:v>LOW</x:v>
      </x:c>
      <x:c r="J2" s="11" t="str">
        <x:v>Primary public reach/release source ledger.</x:v>
      </x:c>
    </x:row>
    <x:row r="3">
      <x:c r="A3" s="11" t="str">
        <x:v>SRC-ORCH-001</x:v>
      </x:c>
      <x:c r="B3" s="11" t="str">
        <x:v>CANONICAL_STANDARDS(1).zip</x:v>
      </x:c>
      <x:c r="C3" s="11" t="str">
        <x:v>ORCHESTRA Research Package Template v2.0</x:v>
      </x:c>
      <x:c r="D3" s="11" t="str">
        <x:v>d669d2079a63a94f43857b1222fefaa0b022c86519c939a997858aa4947915fe</x:v>
      </x:c>
      <x:c r="E3" s="11" t="str">
        <x:v>METHODOLOGY_PACKAGE</x:v>
      </x:c>
      <x:c r="F3" s="11" t="str">
        <x:v>METHODOLOGY_SOURCE</x:v>
      </x:c>
      <x:c r="G3" s="11" t="str">
        <x:v>SELECTED_DOCS</x:v>
      </x:c>
      <x:c r="H3" s="11" t="str">
        <x:v>methodology/ORCHESTRA/documents/</x:v>
      </x:c>
      <x:c r="I3" s="11" t="str">
        <x:v>LOW</x:v>
      </x:c>
      <x:c r="J3" s="11" t="str">
        <x:v>Selected decisive methodology documents copied; executable/template scaffolding remains in source archive.</x:v>
      </x:c>
    </x:row>
    <x:row r="4">
      <x:c r="A4" s="11" t="str">
        <x:v>SRC-ORCH-002</x:v>
      </x:c>
      <x:c r="B4" s="11" t="str">
        <x:v>CANONICAL_STANDARDS(1).zip</x:v>
      </x:c>
      <x:c r="C4" s="11" t="str">
        <x:v>ORCHESTRA Publication Package Template v2.0</x:v>
      </x:c>
      <x:c r="D4" s="11" t="str">
        <x:v>880014f789f4232b306f83dad1558f82fa19df9ffcfac7168fdb89a0675aa0e7</x:v>
      </x:c>
      <x:c r="E4" s="11" t="str">
        <x:v>METHODOLOGY_PACKAGE</x:v>
      </x:c>
      <x:c r="F4" s="11" t="str">
        <x:v>METHODOLOGY_SOURCE</x:v>
      </x:c>
      <x:c r="G4" s="11" t="str">
        <x:v>SELECTED_DOCS</x:v>
      </x:c>
      <x:c r="H4" s="11" t="str">
        <x:v>methodology/ORCHESTRA/documents/</x:v>
      </x:c>
      <x:c r="I4" s="11" t="str">
        <x:v>LOW</x:v>
      </x:c>
      <x:c r="J4" s="11" t="str">
        <x:v>Selected reader-facing custody documents copied; tools and template code omitted.</x:v>
      </x:c>
    </x:row>
    <x:row r="5">
      <x:c r="A5" s="11" t="str">
        <x:v>SRC-ORCH-003</x:v>
      </x:c>
      <x:c r="B5" s="11" t="str">
        <x:v>CANONICAL_STANDARDS(1).zip</x:v>
      </x:c>
      <x:c r="C5" s="11" t="str">
        <x:v>Research and Evidence Standard v1.0.1</x:v>
      </x:c>
      <x:c r="D5" s="11" t="str">
        <x:v>ead6071e69929376f52061c3bdf17cfb7befaae25c1aa936b4474f09cd81a4f9</x:v>
      </x:c>
      <x:c r="E5" s="11" t="str">
        <x:v>METHODOLOGY_STANDARD</x:v>
      </x:c>
      <x:c r="F5" s="11" t="str">
        <x:v>METHODOLOGY_SOURCE</x:v>
      </x:c>
      <x:c r="G5" s="11" t="str">
        <x:v>SELECTED_DOC</x:v>
      </x:c>
      <x:c r="H5" s="11" t="str">
        <x:v>methodology/ORCHESTRA/documents/RESEARCH_AND_EVIDENCE_STANDARD_v1.0.1_20260821.md</x:v>
      </x:c>
      <x:c r="I5" s="11" t="str">
        <x:v>LOW</x:v>
      </x:c>
      <x:c r="J5" s="11" t="str">
        <x:v>Generalized methodology standard.</x:v>
      </x:c>
    </x:row>
    <x:row r="6">
      <x:c r="A6" s="11" t="str">
        <x:v>SRC-ORCH-004</x:v>
      </x:c>
      <x:c r="B6" s="11" t="str">
        <x:v>CANONICAL_STANDARDS(1).zip</x:v>
      </x:c>
      <x:c r="C6" s="11" t="str">
        <x:v>Ancestor Custody Workflow Upgrade v1.0</x:v>
      </x:c>
      <x:c r="D6" s="11" t="str">
        <x:v>70dcd1c006c8400579c329e55ead5477334e47a135338fd5bf1a3b1f71c6d2c4</x:v>
      </x:c>
      <x:c r="E6" s="11" t="str">
        <x:v>METHODOLOGY_PACKAGE</x:v>
      </x:c>
      <x:c r="F6" s="11" t="str">
        <x:v>METHODOLOGY_SOURCE</x:v>
      </x:c>
      <x:c r="G6" s="11" t="str">
        <x:v>SELECTED_DOCS</x:v>
      </x:c>
      <x:c r="H6" s="11" t="str">
        <x:v>methodology/ORCHESTRA/documents/</x:v>
      </x:c>
      <x:c r="I6" s="11" t="str">
        <x:v>LOW</x:v>
      </x:c>
      <x:c r="J6" s="11" t="str">
        <x:v>Exact ancestry/custody formalization; package tools omitted.</x:v>
      </x:c>
    </x:row>
    <x:row r="7">
      <x:c r="A7" s="11" t="str">
        <x:v>SRC-PC-001</x:v>
      </x:c>
      <x:c r="B7" s="11" t="str">
        <x:v>CANONICAL_STANDARDS(1).zip</x:v>
      </x:c>
      <x:c r="C7" s="11" t="str">
        <x:v>PHASE-CALCULUS-DERIVATION-STANDARDS.md</x:v>
      </x:c>
      <x:c r="D7" s="11" t="str">
        <x:v>2757afca2a33df1f5cfe14a6c6b818e8f10b3fcfe458fdd723a8e59e6ef643d0</x:v>
      </x:c>
      <x:c r="E7" s="11" t="str">
        <x:v>DERIVATION_STANDARD</x:v>
      </x:c>
      <x:c r="F7" s="11" t="str">
        <x:v>REVIEW_BEFORE_CANON</x:v>
      </x:c>
      <x:c r="G7" s="11" t="str">
        <x:v>HASH_ONLY</x:v>
      </x:c>
      <x:c r="H7" s="11" t="str"/>
      <x:c r="I7" s="11" t="str">
        <x:v>MEDIUM</x:v>
      </x:c>
      <x:c r="J7" s="11" t="str">
        <x:v>Internal path-rich standard retained by exact hash/source coordinate only.</x:v>
      </x:c>
    </x:row>
    <x:row r="8">
      <x:c r="A8" s="11" t="str">
        <x:v>SRC-PC-002</x:v>
      </x:c>
      <x:c r="B8" s="11" t="str">
        <x:v>direct upload</x:v>
      </x:c>
      <x:c r="C8" s="11" t="str">
        <x:v>Capacity-Coordinated Inverse Seed Law Working Note v0.3</x:v>
      </x:c>
      <x:c r="D8" s="11" t="str">
        <x:v>9150bed4a3f3b336b7c9cf6a6ee5457191080b6d959d52817c4210bfdb3e5024</x:v>
      </x:c>
      <x:c r="E8" s="11" t="str">
        <x:v>WORKING_NOTE</x:v>
      </x:c>
      <x:c r="F8" s="11" t="str">
        <x:v>WORKING_NOTE</x:v>
      </x:c>
      <x:c r="G8" s="11" t="str">
        <x:v>INCLUDED</x:v>
      </x:c>
      <x:c r="H8" s="11" t="str">
        <x:v>records/phase-calculus/Capacity_Coordinated_Inverse_Seed_Law_Working_Note_v0.3.docx</x:v>
      </x:c>
      <x:c r="I8" s="11" t="str">
        <x:v>MEDIUM</x:v>
      </x:c>
      <x:c r="J8" s="11" t="str">
        <x:v>Preserves explicit open claims and withdrawal of prior errors.</x:v>
      </x:c>
    </x:row>
    <x:row r="9">
      <x:c r="A9" s="11" t="str">
        <x:v>SRC-CX-001</x:v>
      </x:c>
      <x:c r="B9" s="11" t="str">
        <x:v>direct upload</x:v>
      </x:c>
      <x:c r="C9" s="11" t="str">
        <x:v>Cortex Engine Retained Baseline 2026-07-26</x:v>
      </x:c>
      <x:c r="D9" s="11" t="str">
        <x:v>8b1e6b8511321db005f453749df284465a31f3b021ba4ef684cdf37cb082daa8</x:v>
      </x:c>
      <x:c r="E9" s="11" t="str">
        <x:v>DATED_BASELINE</x:v>
      </x:c>
      <x:c r="F9" s="11" t="str">
        <x:v>HISTORICAL_BASELINE</x:v>
      </x:c>
      <x:c r="G9" s="11" t="str">
        <x:v>INCLUDED</x:v>
      </x:c>
      <x:c r="H9" s="11" t="str">
        <x:v>records/cortex/CORTEX_ENGINE_RETAINED_BASELINE_20260726.md</x:v>
      </x:c>
      <x:c r="I9" s="11" t="str">
        <x:v>HIGH</x:v>
      </x:c>
      <x:c r="J9" s="11" t="str">
        <x:v>Dated design boundary; not current implementation authority.</x:v>
      </x:c>
    </x:row>
    <x:row r="10">
      <x:c r="A10" s="11" t="str">
        <x:v>SRC-VLL-001</x:v>
      </x:c>
      <x:c r="B10" s="11" t="str">
        <x:v>VLL_Rung.zip</x:v>
      </x:c>
      <x:c r="C10" s="11" t="str">
        <x:v>VLL Rung1 Mechanism Decision v0.3</x:v>
      </x:c>
      <x:c r="D10" s="11" t="str">
        <x:v>f2cef32273202d59218409b24699c9410b2a0e228eaf67accc6d2b0d228a5228</x:v>
      </x:c>
      <x:c r="E10" s="11" t="str">
        <x:v>CORRECTION_RECORD</x:v>
      </x:c>
      <x:c r="F10" s="11" t="str">
        <x:v>RESEARCH_EVIDENCE</x:v>
      </x:c>
      <x:c r="G10" s="11" t="str">
        <x:v>INCLUDED</x:v>
      </x:c>
      <x:c r="H10" s="11" t="str">
        <x:v>records/vll/VLL_Rung1_Mechanism_Decision_v0.3.md</x:v>
      </x:c>
      <x:c r="I10" s="11" t="str">
        <x:v>LOW</x:v>
      </x:c>
      <x:c r="J10" s="11" t="str">
        <x:v>Explicitly withdraws an unjustified bridge and records corrected burden.</x:v>
      </x:c>
    </x:row>
    <x:row r="11">
      <x:c r="A11" s="11" t="str">
        <x:v>SRC-AC-001</x:v>
      </x:c>
      <x:c r="B11" s="11" t="str">
        <x:v>Analogistical-Constructivism.zip</x:v>
      </x:c>
      <x:c r="C11" s="11" t="str">
        <x:v>project-status.md</x:v>
      </x:c>
      <x:c r="D11" s="11" t="str">
        <x:v>41b6744d34e56e0267b38e09d5e0362abd06ed3334641a3bc6128f0b429996c9</x:v>
      </x:c>
      <x:c r="E11" s="11" t="str">
        <x:v>PROJECT_STATUS</x:v>
      </x:c>
      <x:c r="F11" s="11" t="str">
        <x:v>HISTORICAL_STATUS</x:v>
      </x:c>
      <x:c r="G11" s="11" t="str">
        <x:v>INCLUDED</x:v>
      </x:c>
      <x:c r="H11" s="11" t="str">
        <x:v>records/analogistical-constructivism/project-status.md</x:v>
      </x:c>
      <x:c r="I11" s="11" t="str">
        <x:v>HIGH</x:v>
      </x:c>
      <x:c r="J11" s="11" t="str">
        <x:v>Historical status snapshot only.</x:v>
      </x:c>
    </x:row>
    <x:row r="12">
      <x:c r="A12" s="11" t="str">
        <x:v>ARCHIVE-001</x:v>
      </x:c>
      <x:c r="B12" s="11" t="str">
        <x:v>CANONICAL_STANDARDS(1).zip</x:v>
      </x:c>
      <x:c r="C12" s="11" t="str">
        <x:v>private source archive</x:v>
      </x:c>
      <x:c r="D12" s="11" t="str">
        <x:v>b33074a89f9dd3de35f06b1f882505bf0f6725eaf4220ede75ca2bd8c32bdfcd</x:v>
      </x:c>
      <x:c r="E12" s="11" t="str">
        <x:v>SOURCE_ARCHIVE</x:v>
      </x:c>
      <x:c r="F12" s="11" t="str">
        <x:v>HASH_ANCHOR</x:v>
      </x:c>
      <x:c r="G12" s="11" t="str">
        <x:v>HASH_ONLY</x:v>
      </x:c>
      <x:c r="H12" s="11" t="str"/>
      <x:c r="I12" s="11" t="str">
        <x:v>UNKNOWN</x:v>
      </x:c>
      <x:c r="J12" s="11" t="str">
        <x:v>Archive not copied.</x:v>
      </x:c>
    </x:row>
    <x:row r="13">
      <x:c r="A13" s="11" t="str">
        <x:v>ARCHIVE-002</x:v>
      </x:c>
      <x:c r="B13" s="11" t="str">
        <x:v>VLL_Rung.zip</x:v>
      </x:c>
      <x:c r="C13" s="11" t="str">
        <x:v>private source archive</x:v>
      </x:c>
      <x:c r="D13" s="11" t="str">
        <x:v>cac59e792408450e5079c68e1fdd133d5422c64ebb1a18737bc521e7f45d6ad2</x:v>
      </x:c>
      <x:c r="E13" s="11" t="str">
        <x:v>SOURCE_ARCHIVE</x:v>
      </x:c>
      <x:c r="F13" s="11" t="str">
        <x:v>HASH_ANCHOR</x:v>
      </x:c>
      <x:c r="G13" s="11" t="str">
        <x:v>HASH_ONLY</x:v>
      </x:c>
      <x:c r="H13" s="11" t="str"/>
      <x:c r="I13" s="11" t="str">
        <x:v>UNKNOWN</x:v>
      </x:c>
      <x:c r="J13" s="11" t="str">
        <x:v>Archive not copied.</x:v>
      </x:c>
    </x:row>
    <x:row r="14">
      <x:c r="A14" s="11" t="str">
        <x:v>ARCHIVE-003</x:v>
      </x:c>
      <x:c r="B14" s="11" t="str">
        <x:v>Analogistical-Constructivism.zip</x:v>
      </x:c>
      <x:c r="C14" s="11" t="str">
        <x:v>private source archive</x:v>
      </x:c>
      <x:c r="D14" s="11" t="str">
        <x:v>6fff5b82b5de63634809d5511f9bd01552342faf9b2045b7243f9d4b1b1595d4</x:v>
      </x:c>
      <x:c r="E14" s="11" t="str">
        <x:v>SOURCE_ARCHIVE</x:v>
      </x:c>
      <x:c r="F14" s="11" t="str">
        <x:v>HASH_ANCHOR</x:v>
      </x:c>
      <x:c r="G14" s="11" t="str">
        <x:v>HASH_ONLY</x:v>
      </x:c>
      <x:c r="H14" s="11" t="str"/>
      <x:c r="I14" s="11" t="str">
        <x:v>UNKNOWN</x:v>
      </x:c>
      <x:c r="J14" s="11" t="str">
        <x:v>Archive not copied.</x:v>
      </x:c>
    </x:row>
    <x:row r="15">
      <x:c r="A15" s="11" t="str">
        <x:v>ARCHIVE-004</x:v>
      </x:c>
      <x:c r="B15" s="11" t="str">
        <x:v>Legacy-Markdown-CFs.zip</x:v>
      </x:c>
      <x:c r="C15" s="11" t="str">
        <x:v>legacy manuscript archive</x:v>
      </x:c>
      <x:c r="D15" s="11" t="str">
        <x:v>7a0b22c9006f76988f30b1a1f89f9ccf464666ca36b7dddc2e133e67d77cf303</x:v>
      </x:c>
      <x:c r="E15" s="11" t="str">
        <x:v>SOURCE_ARCHIVE</x:v>
      </x:c>
      <x:c r="F15" s="11" t="str">
        <x:v>HASH_ANCHOR</x:v>
      </x:c>
      <x:c r="G15" s="11" t="str">
        <x:v>HASH_ONLY</x:v>
      </x:c>
      <x:c r="H15" s="11" t="str"/>
      <x:c r="I15" s="11" t="str">
        <x:v>UNKNOWN</x:v>
      </x:c>
      <x:c r="J15" s="11" t="str">
        <x:v>All files indexed; only three decisive manuscript snapshots copied.</x:v>
      </x:c>
    </x:row>
  </x:sheetData>
  <x:pageMargins left="0.7" right="0.7" top="0.75" bottom="0.75" header="0.3" footer="0.3"/>
</x:worksheet>
</file>