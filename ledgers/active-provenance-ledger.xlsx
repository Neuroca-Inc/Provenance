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ee5686d224d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7d58c1e92803456f"/>
    <x:sheet xmlns:r="http://schemas.openxmlformats.org/officeDocument/2006/relationships" name="Dependencies" sheetId="2" r:id="Rb00c3bc027cd453c"/>
    <x:sheet xmlns:r="http://schemas.openxmlformats.org/officeDocument/2006/relationships" name="Protocol" sheetId="3" r:id="Ree5c55c5ad1c4549"/>
    <x:sheet xmlns:r="http://schemas.openxmlformats.org/officeDocument/2006/relationships" name="Lists" sheetId="4" r:id="R3d0dfc89aed640b0"/>
    <x:sheet xmlns:r="http://schemas.openxmlformats.org/officeDocument/2006/relationships" name="Summary" sheetId="5" r:id="R44d0acec6bcb4123"/>
    <x:sheet xmlns:r="http://schemas.openxmlformats.org/officeDocument/2006/relationships" name="Git Milestones" sheetId="6" r:id="R66799374abd54cf6"/>
    <x:sheet xmlns:r="http://schemas.openxmlformats.org/officeDocument/2006/relationships" name="Git Crosslinks" sheetId="7" r:id="R3add59591bd64ee0"/>
    <x:sheet xmlns:r="http://schemas.openxmlformats.org/officeDocument/2006/relationships" name="Repo Summary" sheetId="8" r:id="R2bd01dc7a9ae442d"/>
    <x:sheet xmlns:r="http://schemas.openxmlformats.org/officeDocument/2006/relationships" name="Git Summary" sheetId="9" r:id="R8a8b528c91ec448f"/>
    <x:sheet xmlns:r="http://schemas.openxmlformats.org/officeDocument/2006/relationships" name="Methodology Lineage" sheetId="10" r:id="R8f650f8528e04a4d"/>
    <x:sheet xmlns:r="http://schemas.openxmlformats.org/officeDocument/2006/relationships" name="Source Artifacts" sheetId="11" r:id="Rf7638ac7ac7848f9"/>
    <x:sheet xmlns:r="http://schemas.openxmlformats.org/officeDocument/2006/relationships" name="Candidate Queue" sheetId="12" r:id="Rbe29278d29ae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12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6e69c183b420d" /><Relationship Type="http://schemas.openxmlformats.org/officeDocument/2006/relationships/theme" Target="/xl/theme/theme1.xml" Id="R16aec712e3d54ef0" /><Relationship Type="http://schemas.openxmlformats.org/officeDocument/2006/relationships/sharedStrings" Target="/xl/sharedStrings.xml" Id="Rc7493f6e0b724d03" /><Relationship Type="http://schemas.openxmlformats.org/officeDocument/2006/relationships/worksheet" Target="/xl/worksheets/sheet1.xml" Id="R7d58c1e92803456f" /><Relationship Type="http://schemas.openxmlformats.org/officeDocument/2006/relationships/worksheet" Target="/xl/worksheets/sheet2.xml" Id="Rb00c3bc027cd453c" /><Relationship Type="http://schemas.openxmlformats.org/officeDocument/2006/relationships/worksheet" Target="/xl/worksheets/sheet3.xml" Id="Ree5c55c5ad1c4549" /><Relationship Type="http://schemas.openxmlformats.org/officeDocument/2006/relationships/worksheet" Target="/xl/worksheets/sheet4.xml" Id="R3d0dfc89aed640b0" /><Relationship Type="http://schemas.openxmlformats.org/officeDocument/2006/relationships/worksheet" Target="/xl/worksheets/sheet5.xml" Id="R44d0acec6bcb4123" /><Relationship Type="http://schemas.openxmlformats.org/officeDocument/2006/relationships/worksheet" Target="/xl/worksheets/sheet6.xml" Id="R66799374abd54cf6" /><Relationship Type="http://schemas.openxmlformats.org/officeDocument/2006/relationships/worksheet" Target="/xl/worksheets/sheet7.xml" Id="R3add59591bd64ee0" /><Relationship Type="http://schemas.openxmlformats.org/officeDocument/2006/relationships/worksheet" Target="/xl/worksheets/sheet8.xml" Id="R2bd01dc7a9ae442d" /><Relationship Type="http://schemas.openxmlformats.org/officeDocument/2006/relationships/worksheet" Target="/xl/worksheets/sheet9.xml" Id="R8a8b528c91ec448f" /><Relationship Type="http://schemas.openxmlformats.org/officeDocument/2006/relationships/worksheet" Target="/xl/worksheets/sheet10.xml" Id="R8f650f8528e04a4d" /><Relationship Type="http://schemas.openxmlformats.org/officeDocument/2006/relationships/worksheet" Target="/xl/worksheets/sheet11.xml" Id="Rf7638ac7ac7848f9" /><Relationship Type="http://schemas.openxmlformats.org/officeDocument/2006/relationships/worksheet" Target="/xl/worksheets/sheet12.xml" Id="Rbe29278d29ae45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27dfca896846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d88b84b2fde4a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Ledger entries by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'Summary'!$A$10:$A$18</c:f>
              <c:strCache>
                <c:ptCount val="0"/>
              </c:strCache>
            </c:strRef>
          </c:cat>
          <c:val>
            <c:numRef>
              <c:f>'Summary'!$B$10:$B$18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major Git milestones by repository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Milestones</c:v>
          </c:tx>
          <c:cat>
            <c:strRef>
              <c:f>'Git Summary'!$D$4:$D$9</c:f>
              <c:strCache>
                <c:ptCount val="0"/>
              </c:strCache>
            </c:strRef>
          </c:cat>
          <c:val>
            <c:numRef>
              <c:f>'Git Summary'!$E$4:$E$9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27dfca896846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88b84b2fde4a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venanceLedger" displayName="ProvenanceLedger" ref="A1:T19" headerRowCount="1" totalsRowCount="0" totalsRowShown="0">
  <x:tableColumns count="20">
    <x:tableColumn id="1" name="Entry_ID"/>
    <x:tableColumn id="2" name="Event_Date"/>
    <x:tableColumn id="3" name="Recorded_Date"/>
    <x:tableColumn id="4" name="Workstream"/>
    <x:tableColumn id="5" name="Artifact"/>
    <x:tableColumn id="6" name="Version"/>
    <x:tableColumn id="7" name="Entry_Type"/>
    <x:tableColumn id="8" name="Status"/>
    <x:tableColumn id="9" name="Claim_or_Result"/>
    <x:tableColumn id="10" name="Direct_Preconditions"/>
    <x:tableColumn id="11" name="Dependency_IDs"/>
    <x:tableColumn id="12" name="Invariant_Earned_or_Changed"/>
    <x:tableColumn id="13" name="Falsifier_or_Rejected_Alternative"/>
    <x:tableColumn id="14" name="Supersedes_or_Corrects"/>
    <x:tableColumn id="15" name="Downstream_License"/>
    <x:tableColumn id="16" name="Evidence_Anchor"/>
    <x:tableColumn id="17" name="Public_ID_DOI_Commit"/>
    <x:tableColumn id="18" name="Content_SHA256"/>
    <x:tableColumn id="19" name="Verification"/>
    <x:tableColumn id="2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pendencyEdges" displayName="DependencyEdges" ref="A1:D15" headerRowCount="1" totalsRowCount="0" totalsRowShown="0">
  <x:tableColumns count="4">
    <x:tableColumn id="1" name="From_Entry_ID"/>
    <x:tableColumn id="2" name="To_Entry_ID"/>
    <x:tableColumn id="3" name="Relationship"/>
    <x:tableColumn id="4" name="Bas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itMilestonesTable" displayName="GitMilestonesTable" ref="A1:P46" headerRowCount="1" totalsRowCount="0" totalsRowShown="0">
  <x:tableColumns count="16">
    <x:tableColumn id="1" name="Git_ID"/>
    <x:tableColumn id="2" name="Repo"/>
    <x:tableColumn id="3" name="Owner"/>
    <x:tableColumn id="4" name="Commit_Date"/>
    <x:tableColumn id="5" name="Full_SHA"/>
    <x:tableColumn id="6" name="Short_SHA"/>
    <x:tableColumn id="7" name="Commit_Message"/>
    <x:tableColumn id="8" name="Milestone_Class"/>
    <x:tableColumn id="9" name="Evidence_Grade"/>
    <x:tableColumn id="10" name="Provenance_Significance"/>
    <x:tableColumn id="11" name="Existing_Ledger_Crosslink"/>
    <x:tableColumn id="12" name="Correction_or_Rejection"/>
    <x:tableColumn id="13" name="Commit_URL"/>
    <x:tableColumn id="14" name="Web_Source_Ref"/>
    <x:tableColumn id="15" name="Selection_Basis"/>
    <x:tableColumn id="1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itCrosslinksTable" displayName="GitCrosslinksTable" ref="A1:D23" headerRowCount="1" totalsRowCount="0" totalsRowShown="0">
  <x:tableColumns count="4">
    <x:tableColumn id="1" name="Git_ID"/>
    <x:tableColumn id="2" name="Existing_Entry_ID"/>
    <x:tableColumn id="3" name="Relationship"/>
    <x:tableColumn id="4" name="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poSummaryTable" displayName="RepoSummaryTable" ref="A1:J7" headerRowCount="1" totalsRowCount="0" totalsRowShown="0">
  <x:tableColumns count="10">
    <x:tableColumn id="1" name="Repo"/>
    <x:tableColumn id="2" name="URL"/>
    <x:tableColumn id="3" name="History_Status"/>
    <x:tableColumn id="4" name="Visible_Commit_Count"/>
    <x:tableColumn id="5" name="Earliest_Selected"/>
    <x:tableColumn id="6" name="Latest_Selected"/>
    <x:tableColumn id="7" name="Milestones_Selected"/>
    <x:tableColumn id="8" name="Provenance_Role"/>
    <x:tableColumn id="9" name="Coverage_Notes"/>
    <x:tableColumn id="10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ologyLineageTable" displayName="MethodologyLineageTable" ref="A1:K3" headerRowCount="1" totalsRowCount="0" totalsRowShown="0">
  <x:tableColumns count="11">
    <x:tableColumn id="1" name="Method_ID"/>
    <x:tableColumn id="2" name="Sequence"/>
    <x:tableColumn id="3" name="Environment_or_Project"/>
    <x:tableColumn id="4" name="Method_or_System"/>
    <x:tableColumn id="5" name="Relationship"/>
    <x:tableColumn id="6" name="What_Changed"/>
    <x:tableColumn id="7" name="Provenance_Status"/>
    <x:tableColumn id="8" name="Event_Date"/>
    <x:tableColumn id="9" name="Git_or_Artifact_Link"/>
    <x:tableColumn id="10" name="Downstream_Consequence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32663443e342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499cbd242f4a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ed1575842ca49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a73ddbc227945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8ef7aebb07b644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866a381ab0c146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465bea41300c45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6829d79c532c4cf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2" hidden="0" customWidth="1"/>
    <x:col min="5" max="5" width="34" hidden="0" customWidth="1"/>
    <x:col min="6" max="6" width="13" hidden="0" customWidth="1"/>
    <x:col min="7" max="7" width="18" hidden="0" customWidth="1"/>
    <x:col min="8" max="8" width="18" hidden="0" customWidth="1"/>
    <x:col min="9" max="9" width="48" hidden="0" customWidth="1"/>
    <x:col min="10" max="10" width="22" hidden="0" customWidth="1"/>
    <x:col min="11" max="11" width="22" hidden="0" customWidth="1"/>
    <x:col min="12" max="12" width="40" hidden="0" customWidth="1"/>
    <x:col min="13" max="13" width="36" hidden="0" customWidth="1"/>
    <x:col min="14" max="14" width="36" hidden="0" customWidth="1"/>
    <x:col min="15" max="15" width="42" hidden="0" customWidth="1"/>
    <x:col min="16" max="16" width="30" hidden="0" customWidth="1"/>
    <x:col min="17" max="17" width="24" hidden="0" customWidth="1"/>
    <x:col min="18" max="18" width="24" hidden="0" customWidth="1"/>
    <x:col min="19" max="19" width="20" hidden="0" customWidth="1"/>
    <x:col min="20" max="20" width="42" hidden="0" customWidth="1"/>
  </x:cols>
  <x:sheetData>
    <x:row r="1">
      <x:c r="A1" s="10" t="str">
        <x:v>Entry_ID</x:v>
      </x:c>
      <x:c r="B1" s="10" t="str">
        <x:v>Event_Date</x:v>
      </x:c>
      <x:c r="C1" s="10" t="str">
        <x:v>Recorded_Date</x:v>
      </x:c>
      <x:c r="D1" s="10" t="str">
        <x:v>Workstream</x:v>
      </x:c>
      <x:c r="E1" s="10" t="str">
        <x:v>Artifact</x:v>
      </x:c>
      <x:c r="F1" s="10" t="str">
        <x:v>Version</x:v>
      </x:c>
      <x:c r="G1" s="10" t="str">
        <x:v>Entry_Type</x:v>
      </x:c>
      <x:c r="H1" s="10" t="str">
        <x:v>Status</x:v>
      </x:c>
      <x:c r="I1" s="10" t="str">
        <x:v>Claim_or_Result</x:v>
      </x:c>
      <x:c r="J1" s="10" t="str">
        <x:v>Direct_Preconditions</x:v>
      </x:c>
      <x:c r="K1" s="10" t="str">
        <x:v>Dependency_IDs</x:v>
      </x:c>
      <x:c r="L1" s="10" t="str">
        <x:v>Invariant_Earned_or_Changed</x:v>
      </x:c>
      <x:c r="M1" s="10" t="str">
        <x:v>Falsifier_or_Rejected_Alternative</x:v>
      </x:c>
      <x:c r="N1" s="10" t="str">
        <x:v>Supersedes_or_Corrects</x:v>
      </x:c>
      <x:c r="O1" s="10" t="str">
        <x:v>Downstream_License</x:v>
      </x:c>
      <x:c r="P1" s="10" t="str">
        <x:v>Evidence_Anchor</x:v>
      </x:c>
      <x:c r="Q1" s="10" t="str">
        <x:v>Public_ID_DOI_Commit</x:v>
      </x:c>
      <x:c r="R1" s="10" t="str">
        <x:v>Content_SHA256</x:v>
      </x:c>
      <x:c r="S1" s="10" t="str">
        <x:v>Verification</x:v>
      </x:c>
      <x:c r="T1" s="10" t="str">
        <x:v>Notes</x:v>
      </x:c>
    </x:row>
    <x:row r="2">
      <x:c r="A2" s="11" t="str">
        <x:v>PC-0001</x:v>
      </x:c>
      <x:c r="B2" s="14"/>
      <x:c r="C2" s="14" t="str">
        <x:v>2026-09-07</x:v>
      </x:c>
      <x:c r="D2" s="11" t="str">
        <x:v>Foundations</x:v>
      </x:c>
      <x:c r="E2" s="11" t="str">
        <x:v>CF000</x:v>
      </x:c>
      <x:c r="F2" s="11" t="str"/>
      <x:c r="G2" s="11" t="str">
        <x:v>THEOREM/FOUNDATION</x:v>
      </x:c>
      <x:c r="H2" s="11" t="str">
        <x:v>DERIVED</x:v>
      </x:c>
      <x:c r="I2" s="11" t="str">
        <x:v>Primitive condition: distinguishability, non-discharge, continued same-axis articulation, saturation, forced orthogonal extension, inheritance/invariant stacking.</x:v>
      </x:c>
      <x:c r="J2" s="11" t="str"/>
      <x:c r="K2" s="11" t="str"/>
      <x:c r="L2" s="11" t="str">
        <x:v>Primitive articulation / saturation conditions established.</x:v>
      </x:c>
      <x:c r="M2" s="11" t="str"/>
      <x:c r="N2" s="11" t="str"/>
      <x:c r="O2" s="11" t="str">
        <x:v>Licenses later Farey excavation and retained-state construction.</x:v>
      </x:c>
      <x:c r="P2" s="11" t="str">
        <x:v>Chronology(1).md:L3-L9</x:v>
      </x:c>
      <x:c r="Q2" s="11" t="str"/>
      <x:c r="R2" s="11" t="str"/>
      <x:c r="S2" s="11" t="str">
        <x:v>SOURCE-DOCUMENTED</x:v>
      </x:c>
      <x:c r="T2" s="11" t="str">
        <x:v>Source chronology does not state the CF000 publication date.</x:v>
      </x:c>
    </x:row>
    <x:row r="3">
      <x:c r="A3" s="11" t="str">
        <x:v>PC-0002</x:v>
      </x:c>
      <x:c r="B3" s="14" t="str">
        <x:v>2026-03-24</x:v>
      </x:c>
      <x:c r="C3" s="14" t="str">
        <x:v>2026-09-07</x:v>
      </x:c>
      <x:c r="D3" s="11" t="str">
        <x:v>Farey / Infinity Resolution</x:v>
      </x:c>
      <x:c r="E3" s="11" t="str">
        <x:v>Farey Remainder Recursion and Orthogonal Re-Articulation: An Exact Infinity-Resolution Theorem</x:v>
      </x:c>
      <x:c r="F3" s="11" t="str">
        <x:v>v0.1</x:v>
      </x:c>
      <x:c r="G3" s="11" t="str">
        <x:v>THEOREM</x:v>
      </x:c>
      <x:c r="H3" s="11" t="str">
        <x:v>PUBLISHED</x:v>
      </x:c>
      <x:c r="I3" s="11" t="str">
        <x:v>First deliberate mathematical excavation of CF000: balanced refinement, exact carried remainder, finite-resolution stopping, orthogonal re-articulation.</x:v>
      </x:c>
      <x:c r="J3" s="11" t="str">
        <x:v>PC-0001</x:v>
      </x:c>
      <x:c r="K3" s="11" t="str">
        <x:v>PC-0001</x:v>
      </x:c>
      <x:c r="L3" s="11" t="str">
        <x:v>Balanced refinement and exact carried remainder.</x:v>
      </x:c>
      <x:c r="M3" s="11" t="str"/>
      <x:c r="N3" s="11" t="str"/>
      <x:c r="O3" s="11" t="str">
        <x:v>Licenses state-complete assembly attempted in CF19.</x:v>
      </x:c>
      <x:c r="P3" s="11" t="str">
        <x:v>Chronology(1).md:L11-L18</x:v>
      </x:c>
      <x:c r="Q3" s="11" t="str"/>
      <x:c r="R3" s="11" t="str"/>
      <x:c r="S3" s="11" t="str">
        <x:v>SOURCE-DOCUMENTED</x:v>
      </x:c>
      <x:c r="T3" s="11" t="str"/>
    </x:row>
    <x:row r="4">
      <x:c r="A4" s="11" t="str">
        <x:v>PC-0003</x:v>
      </x:c>
      <x:c r="B4" s="14" t="str">
        <x:v>2026-03-27</x:v>
      </x:c>
      <x:c r="C4" s="14" t="str">
        <x:v>2026-09-07</x:v>
      </x:c>
      <x:c r="D4" s="11" t="str">
        <x:v>Lifted Object</x:v>
      </x:c>
      <x:c r="E4" s="11" t="str">
        <x:v>CF19: The Full Lifted Object of the Primitive Roll and Exact Return to Lifted Origin</x:v>
      </x:c>
      <x:c r="F4" s="11" t="str">
        <x:v>v0.1</x:v>
      </x:c>
      <x:c r="G4" s="11" t="str">
        <x:v>CONSTRUCTION</x:v>
      </x:c>
      <x:c r="H4" s="11" t="str">
        <x:v>PUBLISHED</x:v>
      </x:c>
      <x:c r="I4" s="11" t="str">
        <x:v>First attempt to assemble a state-complete mathematical object from structures exposed by CF000 + Farey.</x:v>
      </x:c>
      <x:c r="J4" s="11" t="str">
        <x:v>PC-0001;PC-0002</x:v>
      </x:c>
      <x:c r="K4" s="11" t="str">
        <x:v>PC-0001;PC-0002</x:v>
      </x:c>
      <x:c r="L4" s="11" t="str">
        <x:v>State-complete lifted-object program.</x:v>
      </x:c>
      <x:c r="M4" s="11" t="str"/>
      <x:c r="N4" s="11" t="str"/>
      <x:c r="O4" s="11" t="str">
        <x:v>Licenses broader lifted-state operator development.</x:v>
      </x:c>
      <x:c r="P4" s="11" t="str">
        <x:v>Chronology(1).md:L20-L25</x:v>
      </x:c>
      <x:c r="Q4" s="11" t="str"/>
      <x:c r="R4" s="11" t="str"/>
      <x:c r="S4" s="11" t="str">
        <x:v>SOURCE-DOCUMENTED</x:v>
      </x:c>
      <x:c r="T4" s="11" t="str"/>
    </x:row>
    <x:row r="5">
      <x:c r="A5" s="11" t="str">
        <x:v>PC-0004</x:v>
      </x:c>
      <x:c r="B5" s="14" t="str">
        <x:v>2026-04-06</x:v>
      </x:c>
      <x:c r="C5" s="14" t="str">
        <x:v>2026-09-07</x:v>
      </x:c>
      <x:c r="D5" s="11" t="str">
        <x:v>Phase Calculus Core</x:v>
      </x:c>
      <x:c r="E5" s="11" t="str">
        <x:v>Phase Calculus - Lifted-State Operator Calculus of the Primitive Roll with Connection Closure and Shadow/Completion Branch</x:v>
      </x:c>
      <x:c r="F5" s="11" t="str">
        <x:v>v1</x:v>
      </x:c>
      <x:c r="G5" s="11" t="str">
        <x:v>FRAMEWORK</x:v>
      </x:c>
      <x:c r="H5" s="11" t="str">
        <x:v>PUBLISHED</x:v>
      </x:c>
      <x:c r="I5" s="11" t="str">
        <x:v>Broader Phase Calculus development: lifted-state operator calculus, connection closure, shadow/completion branch.</x:v>
      </x:c>
      <x:c r="J5" s="11" t="str">
        <x:v>PC-0003</x:v>
      </x:c>
      <x:c r="K5" s="11" t="str">
        <x:v>PC-0003</x:v>
      </x:c>
      <x:c r="L5" s="11" t="str">
        <x:v>Lifted-state operator core enters explicit Phase Calculus form.</x:v>
      </x:c>
      <x:c r="M5" s="11" t="str"/>
      <x:c r="N5" s="11" t="str"/>
      <x:c r="O5" s="11" t="str">
        <x:v>Licenses later quotient descent, completion/shadow machinery, and testing.</x:v>
      </x:c>
      <x:c r="P5" s="11" t="str">
        <x:v>Chronology(1).md:L27-L35</x:v>
      </x:c>
      <x:c r="Q5" s="11" t="str"/>
      <x:c r="R5" s="11" t="str"/>
      <x:c r="S5" s="11" t="str">
        <x:v>SOURCE-DOCUMENTED</x:v>
      </x:c>
      <x:c r="T5" s="11" t="str">
        <x:v>Chronology also records a 2026-04-07 instance.</x:v>
      </x:c>
    </x:row>
    <x:row r="6">
      <x:c r="A6" s="11" t="str">
        <x:v>PC-0005</x:v>
      </x:c>
      <x:c r="B6" s="14" t="str">
        <x:v>2026-04-10</x:v>
      </x:c>
      <x:c r="C6" s="14" t="str">
        <x:v>2026-09-07</x:v>
      </x:c>
      <x:c r="D6" s="11" t="str">
        <x:v>Phase Calculus Core</x:v>
      </x:c>
      <x:c r="E6" s="11" t="str">
        <x:v>Phase Calculus - Lifted-State Operator Calculus…</x:v>
      </x:c>
      <x:c r="F6" s="11" t="str">
        <x:v>v11.1</x:v>
      </x:c>
      <x:c r="G6" s="11" t="str">
        <x:v>FRAMEWORK</x:v>
      </x:c>
      <x:c r="H6" s="11" t="str">
        <x:v>PUBLISHED</x:v>
      </x:c>
      <x:c r="I6" s="11" t="str">
        <x:v>Further developed lifted-state operator calculus.</x:v>
      </x:c>
      <x:c r="J6" s="11" t="str">
        <x:v>PC-0004</x:v>
      </x:c>
      <x:c r="K6" s="11" t="str">
        <x:v>PC-0004</x:v>
      </x:c>
      <x:c r="L6" s="11" t="str">
        <x:v>Operator core refinement.</x:v>
      </x:c>
      <x:c r="M6" s="11" t="str"/>
      <x:c r="N6" s="11" t="str"/>
      <x:c r="O6" s="11" t="str">
        <x:v>Feeds quotient descent and broader Phase Calculus testing.</x:v>
      </x:c>
      <x:c r="P6" s="11" t="str">
        <x:v>Chronology(1).md:L27-L35</x:v>
      </x:c>
      <x:c r="Q6" s="11" t="str"/>
      <x:c r="R6" s="11" t="str"/>
      <x:c r="S6" s="11" t="str">
        <x:v>SOURCE-DOCUMENTED</x:v>
      </x:c>
      <x:c r="T6" s="11" t="str"/>
    </x:row>
    <x:row r="7">
      <x:c r="A7" s="11" t="str">
        <x:v>PC-0006</x:v>
      </x:c>
      <x:c r="B7" s="14" t="str">
        <x:v>2026-04-21</x:v>
      </x:c>
      <x:c r="C7" s="14" t="str">
        <x:v>2026-09-07</x:v>
      </x:c>
      <x:c r="D7" s="11" t="str">
        <x:v>Quotient Descent</x:v>
      </x:c>
      <x:c r="E7" s="11" t="str">
        <x:v>Quotient Descent and the EML Operator: Why Continuous Composites Are Not Primitives</x:v>
      </x:c>
      <x:c r="F7" s="11" t="str">
        <x:v>v0.1-v1.5</x:v>
      </x:c>
      <x:c r="G7" s="11" t="str">
        <x:v>THEOREM/OPERATOR</x:v>
      </x:c>
      <x:c r="H7" s="11" t="str">
        <x:v>PUBLISHED</x:v>
      </x:c>
      <x:c r="I7" s="11" t="str">
        <x:v>Quotient descent and EML operator development.</x:v>
      </x:c>
      <x:c r="J7" s="11" t="str">
        <x:v>PC-0004;PC-0005</x:v>
      </x:c>
      <x:c r="K7" s="11" t="str">
        <x:v>PC-0004;PC-0005</x:v>
      </x:c>
      <x:c r="L7" s="11" t="str">
        <x:v>Quotient descent becomes an explicit operator-level mechanism.</x:v>
      </x:c>
      <x:c r="M7" s="11" t="str"/>
      <x:c r="N7" s="11" t="str"/>
      <x:c r="O7" s="11" t="str">
        <x:v>Feeds later cross-domain quotient applications.</x:v>
      </x:c>
      <x:c r="P7" s="11" t="str">
        <x:v>Chronology(1).md:L33-L38</x:v>
      </x:c>
      <x:c r="Q7" s="11" t="str"/>
      <x:c r="R7" s="11" t="str"/>
      <x:c r="S7" s="11" t="str">
        <x:v>SOURCE-DOCUMENTED</x:v>
      </x:c>
      <x:c r="T7" s="11" t="str">
        <x:v>Chronology gives date range 2026-04-21 to 2026-04-22.</x:v>
      </x:c>
    </x:row>
    <x:row r="8">
      <x:c r="A8" s="11" t="str">
        <x:v>PC-0007</x:v>
      </x:c>
      <x:c r="B8" s="14" t="str">
        <x:v>2026-04-24</x:v>
      </x:c>
      <x:c r="C8" s="14" t="str">
        <x:v>2026-09-07</x:v>
      </x:c>
      <x:c r="D8" s="11" t="str">
        <x:v>Cross-domain Test</x:v>
      </x:c>
      <x:c r="E8" s="11" t="str">
        <x:v>Unified Quintic: Lifted Quintic Transport, Red-Filter Quotient Descent, and Immediate Root Certification</x:v>
      </x:c>
      <x:c r="F8" s="11" t="str">
        <x:v>v1.4.2</x:v>
      </x:c>
      <x:c r="G8" s="11" t="str">
        <x:v>APPLICATION</x:v>
      </x:c>
      <x:c r="H8" s="11" t="str">
        <x:v>PUBLISHED</x:v>
      </x:c>
      <x:c r="I8" s="11" t="str">
        <x:v>Applies lifted transport and quotient descent to quintic/root certification.</x:v>
      </x:c>
      <x:c r="J8" s="11" t="str">
        <x:v>PC-0006</x:v>
      </x:c>
      <x:c r="K8" s="11" t="str">
        <x:v>PC-0006</x:v>
      </x:c>
      <x:c r="L8" s="11" t="str">
        <x:v>Cross-domain use of quotient descent before later physical applications.</x:v>
      </x:c>
      <x:c r="M8" s="11" t="str"/>
      <x:c r="N8" s="11" t="str"/>
      <x:c r="O8" s="11" t="str">
        <x:v>Provides downstream evidence that quotient machinery was not invented for one target.</x:v>
      </x:c>
      <x:c r="P8" s="11" t="str">
        <x:v>Chronology(1).md:L36-L38</x:v>
      </x:c>
      <x:c r="Q8" s="11" t="str"/>
      <x:c r="R8" s="11" t="str"/>
      <x:c r="S8" s="11" t="str">
        <x:v>SOURCE-DOCUMENTED</x:v>
      </x:c>
      <x:c r="T8" s="11" t="str"/>
    </x:row>
    <x:row r="9">
      <x:c r="A9" s="11" t="str">
        <x:v>PC-0008</x:v>
      </x:c>
      <x:c r="B9" s="14" t="str">
        <x:v>2026-04-24</x:v>
      </x:c>
      <x:c r="C9" s="14" t="str">
        <x:v>2026-09-07</x:v>
      </x:c>
      <x:c r="D9" s="11" t="str">
        <x:v>Monodromy / Memory</x:v>
      </x:c>
      <x:c r="E9" s="11" t="str">
        <x:v>Monodromy as Memory: Quotient Commutation Is Not Quotient Injectivity</x:v>
      </x:c>
      <x:c r="F9" s="11" t="str">
        <x:v>v0.1</x:v>
      </x:c>
      <x:c r="G9" s="11" t="str">
        <x:v>THEOREM</x:v>
      </x:c>
      <x:c r="H9" s="11" t="str">
        <x:v>PUBLISHED</x:v>
      </x:c>
      <x:c r="I9" s="11" t="str">
        <x:v>Makes branch/history information and non-injective visible projection explicit in monodromy language.</x:v>
      </x:c>
      <x:c r="J9" s="11" t="str">
        <x:v>PC-0004;PC-0006</x:v>
      </x:c>
      <x:c r="K9" s="11" t="str">
        <x:v>PC-0004;PC-0006</x:v>
      </x:c>
      <x:c r="L9" s="11" t="str">
        <x:v>Projection can commute while losing lifted history.</x:v>
      </x:c>
      <x:c r="M9" s="11" t="str"/>
      <x:c r="N9" s="11" t="str"/>
      <x:c r="O9" s="11" t="str">
        <x:v>Supports later retained-history and Orthad development.</x:v>
      </x:c>
      <x:c r="P9" s="11" t="str">
        <x:v>Chronology(1).md:L36-L38</x:v>
      </x:c>
      <x:c r="Q9" s="11" t="str"/>
      <x:c r="R9" s="11" t="str"/>
      <x:c r="S9" s="11" t="str">
        <x:v>SOURCE-DOCUMENTED</x:v>
      </x:c>
      <x:c r="T9" s="11" t="str"/>
    </x:row>
    <x:row r="10">
      <x:c r="A10" s="11" t="str">
        <x:v>PC-0009</x:v>
      </x:c>
      <x:c r="B10" s="14" t="str">
        <x:v>2026-04-24</x:v>
      </x:c>
      <x:c r="C10" s="14" t="str">
        <x:v>2026-09-07</x:v>
      </x:c>
      <x:c r="D10" s="11" t="str">
        <x:v>Phase Calculus Core</x:v>
      </x:c>
      <x:c r="E10" s="11" t="str">
        <x:v>Phase Calculus as Universal Exact Grammar for Branching Structures</x:v>
      </x:c>
      <x:c r="F10" s="11" t="str">
        <x:v>v0.1</x:v>
      </x:c>
      <x:c r="G10" s="11" t="str">
        <x:v>FRAMEWORK</x:v>
      </x:c>
      <x:c r="H10" s="11" t="str">
        <x:v>PUBLISHED</x:v>
      </x:c>
      <x:c r="I10" s="11" t="str">
        <x:v>Broad universal-exact-grammar formulation of Phase Calculus.</x:v>
      </x:c>
      <x:c r="J10" s="11" t="str">
        <x:v>PC-0004;PC-0005</x:v>
      </x:c>
      <x:c r="K10" s="11" t="str">
        <x:v>PC-0004;PC-0005</x:v>
      </x:c>
      <x:c r="L10" s="11" t="str">
        <x:v>Branching grammar generalized beyond the initial construction.</x:v>
      </x:c>
      <x:c r="M10" s="11" t="str"/>
      <x:c r="N10" s="11" t="str"/>
      <x:c r="O10" s="11" t="str">
        <x:v>Feeds later state-complete and Orthad work.</x:v>
      </x:c>
      <x:c r="P10" s="11" t="str">
        <x:v>Chronology(1).md:L27-L31</x:v>
      </x:c>
      <x:c r="Q10" s="11" t="str"/>
      <x:c r="R10" s="11" t="str"/>
      <x:c r="S10" s="11" t="str">
        <x:v>SOURCE-DOCUMENTED</x:v>
      </x:c>
      <x:c r="T10" s="11" t="str"/>
    </x:row>
    <x:row r="11">
      <x:c r="A11" s="11" t="str">
        <x:v>PC-0010</x:v>
      </x:c>
      <x:c r="B11" s="14" t="str">
        <x:v>2026-04-25</x:v>
      </x:c>
      <x:c r="C11" s="14" t="str">
        <x:v>2026-09-07</x:v>
      </x:c>
      <x:c r="D11" s="11" t="str">
        <x:v>State-Complete Inversion</x:v>
      </x:c>
      <x:c r="E11" s="11" t="str">
        <x:v>The Transcendental Wall: State-Complete Inversion and Liouvillian Closure in Phase Calculus</x:v>
      </x:c>
      <x:c r="F11" s="11" t="str">
        <x:v>v0.1</x:v>
      </x:c>
      <x:c r="G11" s="11" t="str">
        <x:v>THEOREM/APPLICATION</x:v>
      </x:c>
      <x:c r="H11" s="11" t="str">
        <x:v>PUBLISHED</x:v>
      </x:c>
      <x:c r="I11" s="11" t="str">
        <x:v>Develops state-complete inversion and Liouvillian closure.</x:v>
      </x:c>
      <x:c r="J11" s="11" t="str">
        <x:v>PC-0004;PC-0005;PC-0006</x:v>
      </x:c>
      <x:c r="K11" s="11" t="str">
        <x:v>PC-0004;PC-0005;PC-0006</x:v>
      </x:c>
      <x:c r="L11" s="11" t="str">
        <x:v>State-complete inversion becomes explicit.</x:v>
      </x:c>
      <x:c r="M11" s="11" t="str"/>
      <x:c r="N11" s="11" t="str"/>
      <x:c r="O11" s="11" t="str">
        <x:v>Supports later retained-state sufficiency arguments.</x:v>
      </x:c>
      <x:c r="P11" s="11" t="str">
        <x:v>Chronology(1).md:L27-L31</x:v>
      </x:c>
      <x:c r="Q11" s="11" t="str"/>
      <x:c r="R11" s="11" t="str"/>
      <x:c r="S11" s="11" t="str">
        <x:v>SOURCE-DOCUMENTED</x:v>
      </x:c>
      <x:c r="T11" s="11" t="str"/>
    </x:row>
    <x:row r="12">
      <x:c r="A12" s="11" t="str">
        <x:v>PC-0011</x:v>
      </x:c>
      <x:c r="B12" s="14" t="str">
        <x:v>2026-04-30</x:v>
      </x:c>
      <x:c r="C12" s="14" t="str">
        <x:v>2026-09-07</x:v>
      </x:c>
      <x:c r="D12" s="11" t="str">
        <x:v>Monodromy / Transport</x:v>
      </x:c>
      <x:c r="E12" s="11" t="str">
        <x:v>Retained Loop Projection and Branch-History Monodromy in Transdimensional Anomalous Hall Transport</x:v>
      </x:c>
      <x:c r="F12" s="11" t="str">
        <x:v>v0.1</x:v>
      </x:c>
      <x:c r="G12" s="11" t="str">
        <x:v>APPLICATION</x:v>
      </x:c>
      <x:c r="H12" s="11" t="str">
        <x:v>PUBLISHED</x:v>
      </x:c>
      <x:c r="I12" s="11" t="str">
        <x:v>Applies retained loop projection and branch-history monodromy in another physical domain.</x:v>
      </x:c>
      <x:c r="J12" s="11" t="str">
        <x:v>PC-0008</x:v>
      </x:c>
      <x:c r="K12" s="11" t="str">
        <x:v>PC-0008</x:v>
      </x:c>
      <x:c r="L12" s="11" t="str">
        <x:v>Branch-history retention demonstrated downstream.</x:v>
      </x:c>
      <x:c r="M12" s="11" t="str"/>
      <x:c r="N12" s="11" t="str"/>
      <x:c r="O12" s="11" t="str">
        <x:v>Further constrains later retained-state interpretations.</x:v>
      </x:c>
      <x:c r="P12" s="11" t="str">
        <x:v>Chronology(1).md:L36-L39</x:v>
      </x:c>
      <x:c r="Q12" s="11" t="str"/>
      <x:c r="R12" s="11" t="str"/>
      <x:c r="S12" s="11" t="str">
        <x:v>SOURCE-DOCUMENTED</x:v>
      </x:c>
      <x:c r="T12" s="11" t="str"/>
    </x:row>
    <x:row r="13">
      <x:c r="A13" s="11" t="str">
        <x:v>PC-0012</x:v>
      </x:c>
      <x:c r="B13" s="14"/>
      <x:c r="C13" s="14" t="str">
        <x:v>2026-09-07</x:v>
      </x:c>
      <x:c r="D13" s="11" t="str">
        <x:v>Orthad</x:v>
      </x:c>
      <x:c r="E13" s="11" t="str">
        <x:v>June Orthad canon + lens/carry work</x:v>
      </x:c>
      <x:c r="F13" s="11" t="str"/>
      <x:c r="G13" s="11" t="str">
        <x:v>DISCOVERY/CONSTRUCTION</x:v>
      </x:c>
      <x:c r="H13" s="11" t="str">
        <x:v>DERIVED</x:v>
      </x:c>
      <x:c r="I13" s="11" t="str">
        <x:v>Orthad meaning begins to stabilize: word-built lens, retained QBL history, counter-oriented charts, cross-chart transfer, Follow ≠ Carry.</x:v>
      </x:c>
      <x:c r="J13" s="11" t="str">
        <x:v>PC-0004;PC-0008;PC-0011</x:v>
      </x:c>
      <x:c r="K13" s="11" t="str">
        <x:v>PC-0004;PC-0008;PC-0011</x:v>
      </x:c>
      <x:c r="L13" s="11" t="str">
        <x:v>Retained dual-chart / overset structural layer becomes explicit.</x:v>
      </x:c>
      <x:c r="M13" s="11" t="str"/>
      <x:c r="N13" s="11" t="str"/>
      <x:c r="O13" s="11" t="str">
        <x:v>Licenses exact QBL/Orthad custody work.</x:v>
      </x:c>
      <x:c r="P13" s="11" t="str">
        <x:v>Chronology(1).md:L41-L63</x:v>
      </x:c>
      <x:c r="Q13" s="11" t="str"/>
      <x:c r="R13" s="11" t="str"/>
      <x:c r="S13" s="11" t="str">
        <x:v>SOURCE-DOCUMENTED</x:v>
      </x:c>
      <x:c r="T13" s="11" t="str">
        <x:v>Chronology specifies June 2026 but not an exact day. Event_Date intentionally left blank until the exact artifact date is attached.</x:v>
      </x:c>
    </x:row>
    <x:row r="14">
      <x:c r="A14" s="11" t="str">
        <x:v>PC-0013</x:v>
      </x:c>
      <x:c r="B14" s="14"/>
      <x:c r="C14" s="14" t="str">
        <x:v>2026-09-07</x:v>
      </x:c>
      <x:c r="D14" s="11" t="str">
        <x:v>QBL / Orthad Custody</x:v>
      </x:c>
      <x:c r="E14" s="11" t="str">
        <x:v>Active-Study QBL primitive custody recovery and correction</x:v>
      </x:c>
      <x:c r="F14" s="11" t="str"/>
      <x:c r="G14" s="11" t="str">
        <x:v>DERIVATION/AUDIT</x:v>
      </x:c>
      <x:c r="H14" s="11" t="str">
        <x:v>AUDITED</x:v>
      </x:c>
      <x:c r="I14" s="11" t="str">
        <x:v>QBL primitive custody recovered/corrected; false BL/FLOOR models rejected; capacity/carry structure derived and audited; exact first crossing recovered; primary-pairing/chart/transfer recurrence progressively forced and closed.</x:v>
      </x:c>
      <x:c r="J14" s="11" t="str">
        <x:v>PC-0012</x:v>
      </x:c>
      <x:c r="K14" s="11" t="str">
        <x:v>PC-0012</x:v>
      </x:c>
      <x:c r="L14" s="11" t="str">
        <x:v>Exact QBL/Orthad authority boundary and capacity/carry structure.</x:v>
      </x:c>
      <x:c r="M14" s="11" t="str">
        <x:v>False BL/FLOOR models rejected.</x:v>
      </x:c>
      <x:c r="N14" s="11" t="str"/>
      <x:c r="O14" s="11" t="str">
        <x:v>Licenses Cortex implementation and later recurrence closure.</x:v>
      </x:c>
      <x:c r="P14" s="11" t="str">
        <x:v>Chronology(1).md:L64-L71</x:v>
      </x:c>
      <x:c r="Q14" s="11" t="str"/>
      <x:c r="R14" s="11" t="str"/>
      <x:c r="S14" s="11" t="str">
        <x:v>SOURCE-DOCUMENTED</x:v>
      </x:c>
      <x:c r="T14" s="11" t="str">
        <x:v>Exact event dates should be added from the underlying Active-Study artifacts.</x:v>
      </x:c>
    </x:row>
    <x:row r="15">
      <x:c r="A15" s="11" t="str">
        <x:v>PC-0014</x:v>
      </x:c>
      <x:c r="B15" s="14"/>
      <x:c r="C15" s="14" t="str">
        <x:v>2026-09-07</x:v>
      </x:c>
      <x:c r="D15" s="11" t="str">
        <x:v>Cortex Implementation</x:v>
      </x:c>
      <x:c r="E15" s="11" t="str">
        <x:v>Cortex CP0 ... CP20</x:v>
      </x:c>
      <x:c r="F15" s="11" t="str">
        <x:v>CP0-CP20</x:v>
      </x:c>
      <x:c r="G15" s="11" t="str">
        <x:v>IMPLEMENTATION</x:v>
      </x:c>
      <x:c r="H15" s="11" t="str">
        <x:v>IMPLEMENTED</x:v>
      </x:c>
      <x:c r="I15" s="11" t="str">
        <x:v>Implements recovered QBL/Orthad authority boundary: assembly primitive custody, retained Orthad mutation, wordless persistence, local/hierarchical causal transactions, world integration.</x:v>
      </x:c>
      <x:c r="J15" s="11" t="str">
        <x:v>PC-0013</x:v>
      </x:c>
      <x:c r="K15" s="11" t="str">
        <x:v>PC-0013</x:v>
      </x:c>
      <x:c r="L15" s="11" t="str">
        <x:v>Recovered mathematical authority boundary implemented.</x:v>
      </x:c>
      <x:c r="M15" s="11" t="str"/>
      <x:c r="N15" s="11" t="str"/>
      <x:c r="O15" s="11" t="str">
        <x:v>Provides executable substrate for later integration.</x:v>
      </x:c>
      <x:c r="P15" s="11" t="str">
        <x:v>Chronology(1).md:L73-L80</x:v>
      </x:c>
      <x:c r="Q15" s="11" t="str"/>
      <x:c r="R15" s="11" t="str"/>
      <x:c r="S15" s="11" t="str">
        <x:v>SOURCE-DOCUMENTED</x:v>
      </x:c>
      <x:c r="T15" s="11" t="str"/>
    </x:row>
    <x:row r="16">
      <x:c r="A16" s="11" t="str">
        <x:v>PC-0015</x:v>
      </x:c>
      <x:c r="B16" s="14"/>
      <x:c r="C16" s="14" t="str">
        <x:v>2026-09-07</x:v>
      </x:c>
      <x:c r="D16" s="11" t="str">
        <x:v>Cortex Boundary</x:v>
      </x:c>
      <x:c r="E16" s="11" t="str">
        <x:v>CP20 deliberate boundary</x:v>
      </x:c>
      <x:c r="F16" s="11" t="str">
        <x:v>CP20</x:v>
      </x:c>
      <x:c r="G16" s="11" t="str">
        <x:v>BOUNDARY</x:v>
      </x:c>
      <x:c r="H16" s="11" t="str">
        <x:v>OPEN</x:v>
      </x:c>
      <x:c r="I16" s="11" t="str">
        <x:v>Implementation substrate mature, but full dual-chart recurrence integration remained blocked in the then-current retrospective.</x:v>
      </x:c>
      <x:c r="J16" s="11" t="str">
        <x:v>PC-0014</x:v>
      </x:c>
      <x:c r="K16" s="11" t="str">
        <x:v>PC-0014</x:v>
      </x:c>
      <x:c r="L16" s="11" t="str">
        <x:v>Explicitly records what was not yet closed.</x:v>
      </x:c>
      <x:c r="M16" s="11" t="str"/>
      <x:c r="N16" s="11" t="str"/>
      <x:c r="O16" s="11" t="str">
        <x:v>Creates a documented burden for post-CP20 mathematical closure.</x:v>
      </x:c>
      <x:c r="P16" s="11" t="str">
        <x:v>Chronology(1).md:L82-L85</x:v>
      </x:c>
      <x:c r="Q16" s="11" t="str"/>
      <x:c r="R16" s="11" t="str"/>
      <x:c r="S16" s="11" t="str">
        <x:v>SOURCE-DOCUMENTED</x:v>
      </x:c>
      <x:c r="T16" s="11" t="str"/>
    </x:row>
    <x:row r="17">
      <x:c r="A17" s="11" t="str">
        <x:v>PC-0016</x:v>
      </x:c>
      <x:c r="B17" s="14" t="str">
        <x:v>2026-04-27</x:v>
      </x:c>
      <x:c r="C17" s="14" t="str">
        <x:v>2026-09-07</x:v>
      </x:c>
      <x:c r="D17" s="11" t="str">
        <x:v>Navier-Stokes</x:v>
      </x:c>
      <x:c r="E17" s="11" t="str">
        <x:v>CF10: Global Regularity for the Three-Dimensional Navier-Stokes Equations</x:v>
      </x:c>
      <x:c r="F17" s="11" t="str">
        <x:v>v1</x:v>
      </x:c>
      <x:c r="G17" s="11" t="str">
        <x:v>APPLICATION/THEOREM</x:v>
      </x:c>
      <x:c r="H17" s="11" t="str">
        <x:v>PUBLISHED</x:v>
      </x:c>
      <x:c r="I17" s="11" t="str">
        <x:v>Post-CP20 closure list includes CF10 global regularity work.</x:v>
      </x:c>
      <x:c r="J17" s="11" t="str"/>
      <x:c r="K17" s="11" t="str"/>
      <x:c r="L17" s="11" t="str">
        <x:v>Phase Calculus transported into the Navier-Stokes regularity program.</x:v>
      </x:c>
      <x:c r="M17" s="11" t="str"/>
      <x:c r="N17" s="11" t="str"/>
      <x:c r="O17" s="11" t="str">
        <x:v>Downstream physical application of retained-state / quotient machinery.</x:v>
      </x:c>
      <x:c r="P17" s="11" t="str">
        <x:v>Chronology(1).md:L87-L90</x:v>
      </x:c>
      <x:c r="Q17" s="11" t="str"/>
      <x:c r="R17" s="11" t="str"/>
      <x:c r="S17" s="11" t="str">
        <x:v>SOURCE-DOCUMENTED</x:v>
      </x:c>
      <x:c r="T17" s="11" t="str">
        <x:v>Its calendar date predates the later CP20 stage; retain event date separately from the chronology section in which it is discussed.</x:v>
      </x:c>
    </x:row>
    <x:row r="18">
      <x:c r="A18" s="11" t="str">
        <x:v>PC-0017</x:v>
      </x:c>
      <x:c r="B18" s="14" t="str">
        <x:v>2026-07-19</x:v>
      </x:c>
      <x:c r="C18" s="14" t="str">
        <x:v>2026-09-07</x:v>
      </x:c>
      <x:c r="D18" s="11" t="str">
        <x:v>Lifted Object</x:v>
      </x:c>
      <x:c r="E18" s="11" t="str">
        <x:v>The Lifted Object: A Natural-Language Walkthrough from Primitive Custody to the Orthad</x:v>
      </x:c>
      <x:c r="F18" s="11" t="str">
        <x:v>v1.0.0-v1.0.1</x:v>
      </x:c>
      <x:c r="G18" s="11" t="str">
        <x:v>WALKTHROUGH</x:v>
      </x:c>
      <x:c r="H18" s="11" t="str">
        <x:v>PUBLISHED</x:v>
      </x:c>
      <x:c r="I18" s="11" t="str">
        <x:v>Current natural-language walkthrough from primitive custody to the Orthad.</x:v>
      </x:c>
      <x:c r="J18" s="11" t="str">
        <x:v>PC-0013;PC-0015</x:v>
      </x:c>
      <x:c r="K18" s="11" t="str">
        <x:v>PC-0013;PC-0015</x:v>
      </x:c>
      <x:c r="L18" s="11" t="str">
        <x:v>Current explanatory surface for recovered custody and Orthad.</x:v>
      </x:c>
      <x:c r="M18" s="11" t="str"/>
      <x:c r="N18" s="11" t="str"/>
      <x:c r="O18" s="11" t="str">
        <x:v>Provides a human-readable reference surface; does not replace primary derivation artifacts.</x:v>
      </x:c>
      <x:c r="P18" s="11" t="str">
        <x:v>Chronology(1).md:L92-L96</x:v>
      </x:c>
      <x:c r="Q18" s="11" t="str"/>
      <x:c r="R18" s="11" t="str"/>
      <x:c r="S18" s="11" t="str">
        <x:v>SOURCE-DOCUMENTED</x:v>
      </x:c>
      <x:c r="T18" s="11" t="str"/>
    </x:row>
    <x:row r="19">
      <x:c r="A19" s="11" t="str">
        <x:v>PC-0018</x:v>
      </x:c>
      <x:c r="B19" s="14"/>
      <x:c r="C19" s="14" t="str">
        <x:v>2026-09-07</x:v>
      </x:c>
      <x:c r="D19" s="11" t="str">
        <x:v>Capacity Law</x:v>
      </x:c>
      <x:c r="E19" s="11" t="str">
        <x:v>QBL phase-position / capacity dependency chain</x:v>
      </x:c>
      <x:c r="F19" s="11" t="str"/>
      <x:c r="G19" s="11" t="str">
        <x:v>DEPENDENCY-CHAIN</x:v>
      </x:c>
      <x:c r="H19" s="11" t="str">
        <x:v>DERIVED</x:v>
      </x:c>
      <x:c r="I19" s="11" t="str">
        <x:v>QBL phase-position/capacity structure branches to Q count 6·2^A−1 / Thabit family and closing capacity 2^(2J_A), then Fibonacci product crossing, exact B depth, global ceiling theorem, dyadic carry, {7,8,9}, five-valued defect, affine interval language, and exact retained QBL boundary factor.</x:v>
      </x:c>
      <x:c r="J19" s="11" t="str">
        <x:v>PC-0013</x:v>
      </x:c>
      <x:c r="K19" s="11" t="str">
        <x:v>PC-0013</x:v>
      </x:c>
      <x:c r="L19" s="11" t="str">
        <x:v>Capacity law becomes a deep downstream dependency spine.</x:v>
      </x:c>
      <x:c r="M19" s="11" t="str"/>
      <x:c r="N19" s="11" t="str"/>
      <x:c r="O19" s="11" t="str">
        <x:v>Licenses exact boundary-factor and affine-language consequences.</x:v>
      </x:c>
      <x:c r="P19" s="11" t="str">
        <x:v>Chronology(1).md:L100-L126</x:v>
      </x:c>
      <x:c r="Q19" s="11" t="str"/>
      <x:c r="R19" s="11" t="str"/>
      <x:c r="S19" s="11" t="str">
        <x:v>SOURCE-DOCUMENTED</x:v>
      </x:c>
      <x:c r="T19" s="11" t="str"/>
    </x:row>
    <x:row r="20">
      <x:c r="A20" s="11" t="str">
        <x:v>PC-0019</x:v>
      </x:c>
      <x:c r="B20" s="14"/>
      <x:c r="C20" s="14" t="str">
        <x:v>2026-09-07</x:v>
      </x:c>
      <x:c r="D20" s="11" t="str">
        <x:v>Research Methodology</x:v>
      </x:c>
      <x:c r="E20" s="11" t="str">
        <x:v>ORCHESTRA</x:v>
      </x:c>
      <x:c r="F20" s="11" t="str"/>
      <x:c r="G20" s="11" t="str">
        <x:v>FRAMEWORK</x:v>
      </x:c>
      <x:c r="H20" s="11" t="str">
        <x:v>DERIVED</x:v>
      </x:c>
      <x:c r="I20" s="11" t="str">
        <x:v>Built during Taoism / Active-Study and began formalization as a provenance-tracking research methodology.</x:v>
      </x:c>
      <x:c r="J20" s="11" t="str">
        <x:v>PC-0012;PC-0013</x:v>
      </x:c>
      <x:c r="K20" s="11" t="str">
        <x:v>PC-0012;PC-0013</x:v>
      </x:c>
      <x:c r="L20" s="11" t="str">
        <x:v>Research provenance becomes an explicit methodology layer alongside mathematical derivation and audit.</x:v>
      </x:c>
      <x:c r="M20" s="11" t="str"/>
      <x:c r="N20" s="11" t="str"/>
      <x:c r="O20" s="11" t="str">
        <x:v>Licenses later methodology development, including Cairn.</x:v>
      </x:c>
      <x:c r="P20" s="11" t="str">
        <x:v>User chronology clarification, 2026-09-07</x:v>
      </x:c>
      <x:c r="Q20" s="11" t="str"/>
      <x:c r="R20" s="11" t="str"/>
      <x:c r="S20" s="11" t="str">
        <x:v>USER-ATTESTED</x:v>
      </x:c>
      <x:c r="T20" s="11" t="str">
        <x:v>Exact first artifact/commit date remains unresolved and should be attached rather than inferred.</x:v>
      </x:c>
    </x:row>
    <x:row r="21">
      <x:c r="A21" s="11" t="str">
        <x:v>PC-0020</x:v>
      </x:c>
      <x:c r="B21" s="14"/>
      <x:c r="C21" s="14" t="str">
        <x:v>2026-09-07</x:v>
      </x:c>
      <x:c r="D21" s="11" t="str">
        <x:v>Research Methodology</x:v>
      </x:c>
      <x:c r="E21" s="11" t="str">
        <x:v>Cairn</x:v>
      </x:c>
      <x:c r="F21" s="11" t="str"/>
      <x:c r="G21" s="11" t="str">
        <x:v>CONSTRUCTION</x:v>
      </x:c>
      <x:c r="H21" s="11" t="str">
        <x:v>OPEN</x:v>
      </x:c>
      <x:c r="I21" s="11" t="str">
        <x:v>Work on Cairn begins after ORCHESTRA as the next stage of the provenance/research-methodology lineage.</x:v>
      </x:c>
      <x:c r="J21" s="11" t="str">
        <x:v>PC-0019</x:v>
      </x:c>
      <x:c r="K21" s="11" t="str">
        <x:v>PC-0019</x:v>
      </x:c>
      <x:c r="L21" s="11" t="str">
        <x:v>Methodology development continues beyond ORCHESTRA.</x:v>
      </x:c>
      <x:c r="M21" s="11" t="str"/>
      <x:c r="N21" s="11" t="str"/>
      <x:c r="O21" s="11" t="str">
        <x:v>Pending exact Cairn artifact/repository mapping for provenance-grade Git crosslinking.</x:v>
      </x:c>
      <x:c r="P21" s="11" t="str">
        <x:v>User chronology clarification, 2026-09-07</x:v>
      </x:c>
      <x:c r="Q21" s="11" t="str"/>
      <x:c r="R21" s="11" t="str"/>
      <x:c r="S21" s="11" t="str">
        <x:v>USER-ATTESTED</x:v>
      </x:c>
      <x:c r="T21" s="11" t="str">
        <x:v>Sequence is established by user report; exact date, repository, and first major commit are intentionally not guessed.</x:v>
      </x:c>
    </x:row>
  </x:sheetData>
  <x:conditionalFormatting sqref="H2:H19">
    <x:cfRule type="expression" dxfId="0" priority="1">
      <x:formula>H2="OPEN"</x:formula>
    </x:cfRule>
    <x:cfRule type="expression" dxfId="1" priority="2">
      <x:formula>OR(H2="PROVED",H2="AUDITED",H2="DERIVED")</x:formula>
    </x:cfRule>
    <x:cfRule type="expression" dxfId="2" priority="3">
      <x:formula>OR(H2="REJECTED",H2="SUPERSEDED")</x:formula>
    </x:cfRule>
  </x:conditionalFormatting>
  <x:dataValidations count="2">
    <x:dataValidation type="list" sqref="H2:H2000">
      <x:formula1>Lists!$A$2:$A$10</x:formula1>
    </x:dataValidation>
    <x:dataValidation type="list" sqref="G2:G2000">
      <x:formula1>Lists!$C$2:$C$14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32663443e342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60" hidden="0" customWidth="1"/>
  </x:cols>
  <x:sheetData>
    <x:row r="1">
      <x:c r="A1" s="10" t="str">
        <x:v>From_Entry_ID</x:v>
      </x:c>
      <x:c r="B1" s="10" t="str">
        <x:v>To_Entry_ID</x:v>
      </x:c>
      <x:c r="C1" s="10" t="str">
        <x:v>Relationship</x:v>
      </x:c>
      <x:c r="D1" s="10" t="str">
        <x:v>Basis</x:v>
      </x:c>
    </x:row>
    <x:row r="2">
      <x:c r="A2" s="11" t="str">
        <x:v>PC-0001</x:v>
      </x:c>
      <x:c r="B2" s="11" t="str">
        <x:v>PC-0002</x:v>
      </x:c>
      <x:c r="C2" s="11" t="str">
        <x:v>DERIVES</x:v>
      </x:c>
      <x:c r="D2" s="11" t="str">
        <x:v>CF000 primitive condition is deliberately excavated by Farey work.</x:v>
      </x:c>
    </x:row>
    <x:row r="3">
      <x:c r="A3" s="11" t="str">
        <x:v>PC-0001</x:v>
      </x:c>
      <x:c r="B3" s="11" t="str">
        <x:v>PC-0003</x:v>
      </x:c>
      <x:c r="C3" s="11" t="str">
        <x:v>INPUT</x:v>
      </x:c>
      <x:c r="D3" s="11" t="str">
        <x:v>CF000 structures contribute to state-complete construction.</x:v>
      </x:c>
    </x:row>
    <x:row r="4">
      <x:c r="A4" s="11" t="str">
        <x:v>PC-0002</x:v>
      </x:c>
      <x:c r="B4" s="11" t="str">
        <x:v>PC-0003</x:v>
      </x:c>
      <x:c r="C4" s="11" t="str">
        <x:v>INPUT</x:v>
      </x:c>
      <x:c r="D4" s="11" t="str">
        <x:v>Farey structures contribute to state-complete construction.</x:v>
      </x:c>
    </x:row>
    <x:row r="5">
      <x:c r="A5" s="11" t="str">
        <x:v>PC-0003</x:v>
      </x:c>
      <x:c r="B5" s="11" t="str">
        <x:v>PC-0004</x:v>
      </x:c>
      <x:c r="C5" s="11" t="str">
        <x:v>DEVELOPS_INTO</x:v>
      </x:c>
      <x:c r="D5" s="11" t="str">
        <x:v>CF19 precedes broader lifted-state operator calculus.</x:v>
      </x:c>
    </x:row>
    <x:row r="6">
      <x:c r="A6" s="11" t="str">
        <x:v>PC-0004</x:v>
      </x:c>
      <x:c r="B6" s="11" t="str">
        <x:v>PC-0006</x:v>
      </x:c>
      <x:c r="C6" s="11" t="str">
        <x:v>DEVELOPS_INTO</x:v>
      </x:c>
      <x:c r="D6" s="11" t="str">
        <x:v>Operator core feeds quotient descent.</x:v>
      </x:c>
    </x:row>
    <x:row r="7">
      <x:c r="A7" s="11" t="str">
        <x:v>PC-0006</x:v>
      </x:c>
      <x:c r="B7" s="11" t="str">
        <x:v>PC-0007</x:v>
      </x:c>
      <x:c r="C7" s="11" t="str">
        <x:v>APPLIED_IN</x:v>
      </x:c>
      <x:c r="D7" s="11" t="str">
        <x:v>Quotient descent used in Unified Quintic.</x:v>
      </x:c>
    </x:row>
    <x:row r="8">
      <x:c r="A8" s="11" t="str">
        <x:v>PC-0006</x:v>
      </x:c>
      <x:c r="B8" s="11" t="str">
        <x:v>PC-0008</x:v>
      </x:c>
      <x:c r="C8" s="11" t="str">
        <x:v>SUPPORTS</x:v>
      </x:c>
      <x:c r="D8" s="11" t="str">
        <x:v>Quotient machinery supports monodromy distinction.</x:v>
      </x:c>
    </x:row>
    <x:row r="9">
      <x:c r="A9" s="11" t="str">
        <x:v>PC-0008</x:v>
      </x:c>
      <x:c r="B9" s="11" t="str">
        <x:v>PC-0011</x:v>
      </x:c>
      <x:c r="C9" s="11" t="str">
        <x:v>APPLIED_IN</x:v>
      </x:c>
      <x:c r="D9" s="11" t="str">
        <x:v>Branch-history monodromy used in anomalous Hall transport.</x:v>
      </x:c>
    </x:row>
    <x:row r="10">
      <x:c r="A10" s="11" t="str">
        <x:v>PC-0008</x:v>
      </x:c>
      <x:c r="B10" s="11" t="str">
        <x:v>PC-0012</x:v>
      </x:c>
      <x:c r="C10" s="11" t="str">
        <x:v>CONSTRAINS</x:v>
      </x:c>
      <x:c r="D10" s="11" t="str">
        <x:v>Projection-loss/history results constrain Orthad interpretation.</x:v>
      </x:c>
    </x:row>
    <x:row r="11">
      <x:c r="A11" s="11" t="str">
        <x:v>PC-0012</x:v>
      </x:c>
      <x:c r="B11" s="11" t="str">
        <x:v>PC-0013</x:v>
      </x:c>
      <x:c r="C11" s="11" t="str">
        <x:v>DEVELOPS_INTO</x:v>
      </x:c>
      <x:c r="D11" s="11" t="str">
        <x:v>June Orthad/lens work enters exact QBL custody attack.</x:v>
      </x:c>
    </x:row>
    <x:row r="12">
      <x:c r="A12" s="11" t="str">
        <x:v>PC-0013</x:v>
      </x:c>
      <x:c r="B12" s="11" t="str">
        <x:v>PC-0014</x:v>
      </x:c>
      <x:c r="C12" s="11" t="str">
        <x:v>IMPLEMENTED_BY</x:v>
      </x:c>
      <x:c r="D12" s="11" t="str">
        <x:v>Recovered authority boundary implemented in Cortex.</x:v>
      </x:c>
    </x:row>
    <x:row r="13">
      <x:c r="A13" s="11" t="str">
        <x:v>PC-0014</x:v>
      </x:c>
      <x:c r="B13" s="11" t="str">
        <x:v>PC-0015</x:v>
      </x:c>
      <x:c r="C13" s="11" t="str">
        <x:v>EXPOSES_BOUNDARY</x:v>
      </x:c>
      <x:c r="D13" s="11" t="str">
        <x:v>CP20 records a remaining integration burden.</x:v>
      </x:c>
    </x:row>
    <x:row r="14">
      <x:c r="A14" s="11" t="str">
        <x:v>PC-0015</x:v>
      </x:c>
      <x:c r="B14" s="11" t="str">
        <x:v>PC-0017</x:v>
      </x:c>
      <x:c r="C14" s="11" t="str">
        <x:v>DOCUMENTED_BY</x:v>
      </x:c>
      <x:c r="D14" s="11" t="str">
        <x:v>Walkthrough reflects current post-boundary understanding.</x:v>
      </x:c>
    </x:row>
    <x:row r="15">
      <x:c r="A15" s="11" t="str">
        <x:v>PC-0013</x:v>
      </x:c>
      <x:c r="B15" s="11" t="str">
        <x:v>PC-0018</x:v>
      </x:c>
      <x:c r="C15" s="11" t="str">
        <x:v>DERIVES</x:v>
      </x:c>
      <x:c r="D15" s="11" t="str">
        <x:v>Capacity/carry custody yields the capacity dependency spine.</x:v>
      </x:c>
    </x:row>
  </x:sheetData>
  <x:pageMargins left="0.7" right="0.7" top="0.75" bottom="0.75" header="0.3" footer="0.3"/>
  <x:tableParts count="1">
    <x:tablePart xmlns:r="http://schemas.openxmlformats.org/officeDocument/2006/relationships" r:id="R9f499cbd242f4a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10" t="str">
        <x:v>Rule</x:v>
      </x:c>
      <x:c r="B1" s="10" t="str">
        <x:v>Operational meaning</x:v>
      </x:c>
    </x:row>
    <x:row r="2">
      <x:c r="A2" s="11" t="str">
        <x:v>Append, do not rewrite</x:v>
      </x:c>
      <x:c r="B2" s="11" t="str">
        <x:v>If a claim changes, add a new row and point Supersedes_or_Corrects to the old Entry_ID. Preserve the old row.</x:v>
      </x:c>
    </x:row>
    <x:row r="3">
      <x:c r="A3" s="11" t="str">
        <x:v>Separate intuition from authorization</x:v>
      </x:c>
      <x:c r="B3" s="11" t="str">
        <x:v>Log speculative ideas as HYPOTHESIS. Change status only when the proof/test burden actually closes.</x:v>
      </x:c>
    </x:row>
    <x:row r="4">
      <x:c r="A4" s="11" t="str">
        <x:v>Separate event date from recorded date</x:v>
      </x:c>
      <x:c r="B4" s="11" t="str">
        <x:v>Event_Date is when the artifact/result occurred. Recorded_Date is when this ledger row was added.</x:v>
      </x:c>
    </x:row>
    <x:row r="5">
      <x:c r="A5" s="11" t="str">
        <x:v>Never backfill uncertainty as fact</x:v>
      </x:c>
      <x:c r="B5" s="11" t="str">
        <x:v>Unknown dates/hashes/DOIs stay blank until located. Archaeology gets its own row if necessary.</x:v>
      </x:c>
    </x:row>
    <x:row r="6">
      <x:c r="A6" s="11" t="str">
        <x:v>Immutable evidence anchor</x:v>
      </x:c>
      <x:c r="B6" s="11" t="str">
        <x:v>Prefer DOI, git commit, content SHA-256, sealed package hash, or exact source path + line/range.</x:v>
      </x:c>
    </x:row>
    <x:row r="7">
      <x:c r="A7" s="11" t="str">
        <x:v>Keep failures</x:v>
      </x:c>
      <x:c r="B7" s="11" t="str">
        <x:v>Rejected models, failed proofs, and falsifiers are provenance. Do not delete them.</x:v>
      </x:c>
    </x:row>
    <x:row r="8">
      <x:c r="A8" s="11" t="str">
        <x:v>Dependency IDs are exact</x:v>
      </x:c>
      <x:c r="B8" s="11" t="str">
        <x:v>Use stable Entry_IDs instead of prose like 'earlier work' whenever possible.</x:v>
      </x:c>
    </x:row>
    <x:row r="9">
      <x:c r="A9" s="11" t="str">
        <x:v>Publication != proof status</x:v>
      </x:c>
      <x:c r="B9" s="11" t="str">
        <x:v>A published hypothesis can remain OPEN; an unpublished result can be PROVED/AUDITED.</x:v>
      </x:c>
    </x:row>
    <x:row r="10">
      <x:c r="A10" s="11" t="str">
        <x:v>Record what a result licenses</x:v>
      </x:c>
      <x:c r="B10" s="11" t="str">
        <x:v>Downstream_License states exactly what later work is entitled to inherit.</x:v>
      </x:c>
    </x:row>
    <x:row r="11">
      <x:c r="A11" s="11" t="str">
        <x:v>No hand forcing</x:v>
      </x:c>
      <x:c r="B11" s="11" t="str">
        <x:v>If a parameter, recurrence, capacity, threshold, or mapping is derived, record the derivation source so later work cannot silently retune it.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3" max="3" width="24" hidden="0" customWidth="1"/>
  </x:cols>
  <x:sheetData>
    <x:row r="1">
      <x:c r="A1" s="5" t="str">
        <x:v>Status</x:v>
      </x:c>
      <x:c r="C1" s="5" t="str">
        <x:v>Entry_Type</x:v>
      </x:c>
    </x:row>
    <x:row r="2">
      <x:c r="A2" t="str">
        <x:v>HYPOTHESIS</x:v>
      </x:c>
      <x:c r="C2" t="str">
        <x:v>FOUNDATION</x:v>
      </x:c>
    </x:row>
    <x:row r="3">
      <x:c r="A3" t="str">
        <x:v>OPEN</x:v>
      </x:c>
      <x:c r="C3" t="str">
        <x:v>THEOREM</x:v>
      </x:c>
    </x:row>
    <x:row r="4">
      <x:c r="A4" t="str">
        <x:v>DERIVED</x:v>
      </x:c>
      <x:c r="C4" t="str">
        <x:v>CONSTRUCTION</x:v>
      </x:c>
    </x:row>
    <x:row r="5">
      <x:c r="A5" t="str">
        <x:v>PROVED</x:v>
      </x:c>
      <x:c r="C5" t="str">
        <x:v>FRAMEWORK</x:v>
      </x:c>
    </x:row>
    <x:row r="6">
      <x:c r="A6" t="str">
        <x:v>AUDITED</x:v>
      </x:c>
      <x:c r="C6" t="str">
        <x:v>APPLICATION</x:v>
      </x:c>
    </x:row>
    <x:row r="7">
      <x:c r="A7" t="str">
        <x:v>REJECTED</x:v>
      </x:c>
      <x:c r="C7" t="str">
        <x:v>DERIVATION/AUDIT</x:v>
      </x:c>
    </x:row>
    <x:row r="8">
      <x:c r="A8" t="str">
        <x:v>SUPERSEDED</x:v>
      </x:c>
      <x:c r="C8" t="str">
        <x:v>IMPLEMENTATION</x:v>
      </x:c>
    </x:row>
    <x:row r="9">
      <x:c r="A9" t="str">
        <x:v>IMPLEMENTED</x:v>
      </x:c>
      <x:c r="C9" t="str">
        <x:v>BOUNDARY</x:v>
      </x:c>
    </x:row>
    <x:row r="10">
      <x:c r="A10" t="str">
        <x:v>PUBLISHED</x:v>
      </x:c>
      <x:c r="C10" t="str">
        <x:v>WALKTHROUGH</x:v>
      </x:c>
    </x:row>
    <x:row r="11">
      <x:c r="C11" t="str">
        <x:v>DEPENDENCY-CHAIN</x:v>
      </x:c>
    </x:row>
    <x:row r="12">
      <x:c r="C12" t="str">
        <x:v>HYPOTHESIS</x:v>
      </x:c>
    </x:row>
    <x:row r="13">
      <x:c r="C13" t="str">
        <x:v>CORRECTION</x:v>
      </x:c>
    </x:row>
    <x:row r="14">
      <x:c r="C14" t="str">
        <x:v>FALSIFIER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0" t="str">
        <x:v>Phase Calculus Active Provenance Ledger</x:v>
      </x:c>
      <x:c r="B1" s="11"/>
      <x:c r="C1" s="11"/>
      <x:c r="D1" s="11"/>
    </x:row>
    <x:row r="2">
      <x:c r="A2" s="11"/>
      <x:c r="B2" s="11"/>
      <x:c r="C2" s="11"/>
      <x:c r="D2" s="11"/>
    </x:row>
    <x:row r="3">
      <x:c r="A3" s="10" t="str">
        <x:v>Metric</x:v>
      </x:c>
      <x:c r="B3" s="10" t="str">
        <x:v>Value</x:v>
      </x:c>
      <x:c r="C3" s="11"/>
      <x:c r="D3" s="11"/>
    </x:row>
    <x:row r="4">
      <x:c r="A4" s="11" t="str">
        <x:v>Seeded entries</x:v>
      </x:c>
      <x:c r="B4" s="11" t="n">
        <x:f>COUNTA(Ledger!A2:A2000)</x:f>
        <x:v>20</x:v>
      </x:c>
      <x:c r="C4" s="11"/>
      <x:c r="D4" s="11"/>
    </x:row>
    <x:row r="5">
      <x:c r="A5" s="11" t="str">
        <x:v>Dependency edges</x:v>
      </x:c>
      <x:c r="B5" s="11" t="n">
        <x:f>COUNTA(Dependencies!A2:A2000)</x:f>
        <x:v>14</x:v>
      </x:c>
      <x:c r="C5" s="11"/>
      <x:c r="D5" s="11"/>
    </x:row>
    <x:row r="6">
      <x:c r="A6" s="11" t="str">
        <x:v>Open burdens</x:v>
      </x:c>
      <x:c r="B6" s="11" t="n">
        <x:f>COUNTIF(Ledger!H2:H2000,"OPEN")</x:f>
        <x:v>2</x:v>
      </x:c>
      <x:c r="C6" s="11"/>
      <x:c r="D6" s="11"/>
    </x:row>
    <x:row r="7">
      <x:c r="A7" s="11" t="str">
        <x:v>Rejected/superseded rows</x:v>
      </x:c>
      <x:c r="B7" s="11" t="n">
        <x:f>COUNTIF(Ledger!H2:H2000,"REJECTED")+COUNTIF(Ledger!H2:H2000,"SUPERSEDED")</x:f>
        <x:v>0</x:v>
      </x:c>
      <x:c r="C7" s="11"/>
      <x:c r="D7" s="11"/>
    </x:row>
    <x:row r="8">
      <x:c r="A8" s="11"/>
      <x:c r="B8" s="11"/>
      <x:c r="C8" s="11"/>
      <x:c r="D8" s="11"/>
    </x:row>
    <x:row r="9">
      <x:c r="A9" s="10" t="str">
        <x:v>Status</x:v>
      </x:c>
      <x:c r="B9" s="10" t="str">
        <x:v>Count</x:v>
      </x:c>
      <x:c r="C9" s="11"/>
      <x:c r="D9" s="11"/>
    </x:row>
    <x:row r="10">
      <x:c r="A10" s="11" t="str">
        <x:v>HYPOTHESIS</x:v>
      </x:c>
      <x:c r="B10" s="11" t="n">
        <x:f>COUNTIF(Ledger!H2:H2000,A10)</x:f>
        <x:v>0</x:v>
      </x:c>
      <x:c r="C10" s="11"/>
      <x:c r="D10" s="11"/>
    </x:row>
    <x:row r="11">
      <x:c r="A11" s="11" t="str">
        <x:v>OPEN</x:v>
      </x:c>
      <x:c r="B11" s="11" t="n">
        <x:f>COUNTIF(Ledger!H2:H2000,A11)</x:f>
        <x:v>2</x:v>
      </x:c>
      <x:c r="C11" s="11"/>
      <x:c r="D11" s="11"/>
    </x:row>
    <x:row r="12">
      <x:c r="A12" s="11" t="str">
        <x:v>DERIVED</x:v>
      </x:c>
      <x:c r="B12" s="11" t="n">
        <x:f>COUNTIF(Ledger!H2:H2000,A12)</x:f>
        <x:v>4</x:v>
      </x:c>
      <x:c r="C12" s="11"/>
      <x:c r="D12" s="11"/>
    </x:row>
    <x:row r="13">
      <x:c r="A13" s="11" t="str">
        <x:v>PROVED</x:v>
      </x:c>
      <x:c r="B13" s="11" t="n">
        <x:f>COUNTIF(Ledger!H2:H2000,A13)</x:f>
        <x:v>0</x:v>
      </x:c>
      <x:c r="C13" s="11"/>
      <x:c r="D13" s="11"/>
    </x:row>
    <x:row r="14">
      <x:c r="A14" s="11" t="str">
        <x:v>AUDITED</x:v>
      </x:c>
      <x:c r="B14" s="11" t="n">
        <x:f>COUNTIF(Ledger!H2:H2000,A14)</x:f>
        <x:v>1</x:v>
      </x:c>
      <x:c r="C14" s="11"/>
      <x:c r="D14" s="11"/>
    </x:row>
    <x:row r="15">
      <x:c r="A15" s="11" t="str">
        <x:v>REJECTED</x:v>
      </x:c>
      <x:c r="B15" s="11" t="n">
        <x:f>COUNTIF(Ledger!H2:H2000,A15)</x:f>
        <x:v>0</x:v>
      </x:c>
      <x:c r="C15" s="11"/>
      <x:c r="D15" s="11"/>
    </x:row>
    <x:row r="16">
      <x:c r="A16" s="11" t="str">
        <x:v>SUPERSEDED</x:v>
      </x:c>
      <x:c r="B16" s="11" t="n">
        <x:f>COUNTIF(Ledger!H2:H2000,A16)</x:f>
        <x:v>0</x:v>
      </x:c>
      <x:c r="C16" s="11"/>
      <x:c r="D16" s="11"/>
    </x:row>
    <x:row r="17">
      <x:c r="A17" s="11" t="str">
        <x:v>IMPLEMENTED</x:v>
      </x:c>
      <x:c r="B17" s="11" t="n">
        <x:f>COUNTIF(Ledger!H2:H2000,A17)</x:f>
        <x:v>1</x:v>
      </x:c>
      <x:c r="C17" s="11"/>
      <x:c r="D17" s="11"/>
    </x:row>
    <x:row r="18">
      <x:c r="A18" s="11" t="str">
        <x:v>PUBLISHED</x:v>
      </x:c>
      <x:c r="B18" s="11" t="n">
        <x:f>COUNTIF(Ledger!H2:H2000,A18)</x:f>
        <x:v>12</x:v>
      </x:c>
      <x:c r="C18" s="11"/>
      <x:c r="D18" s="11"/>
    </x:row>
    <x:row r="19">
      <x:c r="A19" s="11"/>
      <x:c r="B19" s="11"/>
      <x:c r="C19" s="11"/>
      <x:c r="D19" s="11"/>
    </x:row>
    <x:row r="20">
      <x:c r="A20" s="30" t="str">
        <x:v>Git provenance layer</x:v>
      </x:c>
      <x:c r="B20" s="11" t="str">
        <x:v>See Git Summary / Git Milestones / Git Crosslinks / Repo Summary</x:v>
      </x:c>
      <x:c r="C20" s="11"/>
      <x:c r="D20" s="11"/>
    </x:row>
    <x:row r="21">
      <x:c r="A21" s="36" t="str">
        <x:v>Methodology lineage</x:v>
      </x:c>
      <x:c r="B21" s="11" t="str">
        <x:v>Taoism / Active-Study → ORCHESTRA → Cairn</x:v>
      </x:c>
    </x:row>
    <x:row r="22">
      <x:c r="A22" s="36" t="str">
        <x:v>Methodology sheet</x:v>
      </x:c>
      <x:c r="B22" s="11" t="str">
        <x:v>See Methodology Lineage</x:v>
      </x:c>
    </x:row>
    <x:row r="23">
      <x:c r="A23" s="36" t="str">
        <x:v>Public provenance repo</x:v>
      </x:c>
      <x:c r="B23" s="11" t="str">
        <x:v>Neuroca-Inc/Provenance staging tree built</x:v>
      </x:c>
    </x:row>
    <x:row r="24">
      <x:c r="A24" s="36" t="str">
        <x:v>Selected source artifacts</x:v>
      </x:c>
      <x:c r="B24" s="11" t="str">
        <x:v>17 indexed</x:v>
      </x:c>
    </x:row>
    <x:row r="25">
      <x:c r="A25" s="36" t="str">
        <x:v>Methodology rows</x:v>
      </x:c>
      <x:c r="B25" s="11" t="str">
        <x:v>6</x:v>
      </x:c>
    </x:row>
    <x:row r="26">
      <x:c r="A26" s="36" t="str">
        <x:v>Hash-only/private anchors</x:v>
      </x:c>
      <x:c r="B26" s="11" t="n">
        <x:f>COUNTIF('Source Artifacts'!G2:G200,"HASH_ONLY")</x:f>
        <x:v>6</x:v>
      </x:c>
    </x:row>
    <x:row r="27">
      <x:c r="A27" s="36" t="str">
        <x:v>Included selected artifacts</x:v>
      </x:c>
      <x:c r="B27" s="11" t="n">
        <x:f>COUNTIF('Source Artifacts'!G2:G200,"INCLUDED")</x:f>
        <x:v>11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9ed1575842ca495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3" hidden="0" customWidth="1"/>
    <x:col min="5" max="5" width="42" hidden="0" customWidth="1"/>
    <x:col min="6" max="6" width="12" hidden="0" customWidth="1"/>
    <x:col min="7" max="7" width="46" hidden="0" customWidth="1"/>
    <x:col min="8" max="8" width="22" hidden="0" customWidth="1"/>
    <x:col min="9" max="9" width="24" hidden="0" customWidth="1"/>
    <x:col min="10" max="10" width="56" hidden="0" customWidth="1"/>
    <x:col min="11" max="11" width="22" hidden="0" customWidth="1"/>
    <x:col min="12" max="12" width="48" hidden="0" customWidth="1"/>
    <x:col min="13" max="13" width="54" hidden="0" customWidth="1"/>
    <x:col min="14" max="14" width="24" hidden="0" customWidth="1"/>
    <x:col min="15" max="15" width="30" hidden="0" customWidth="1"/>
    <x:col min="16" max="16" width="42" hidden="0" customWidth="1"/>
  </x:cols>
  <x:sheetData>
    <x:row r="1">
      <x:c r="A1" s="26" t="str">
        <x:v>Git_ID</x:v>
      </x:c>
      <x:c r="B1" s="26" t="str">
        <x:v>Repo</x:v>
      </x:c>
      <x:c r="C1" s="26" t="str">
        <x:v>Owner</x:v>
      </x:c>
      <x:c r="D1" s="26" t="str">
        <x:v>Commit_Date</x:v>
      </x:c>
      <x:c r="E1" s="26" t="str">
        <x:v>Full_SHA</x:v>
      </x:c>
      <x:c r="F1" s="26" t="str">
        <x:v>Short_SHA</x:v>
      </x:c>
      <x:c r="G1" s="26" t="str">
        <x:v>Commit_Message</x:v>
      </x:c>
      <x:c r="H1" s="26" t="str">
        <x:v>Milestone_Class</x:v>
      </x:c>
      <x:c r="I1" s="26" t="str">
        <x:v>Evidence_Grade</x:v>
      </x:c>
      <x:c r="J1" s="26" t="str">
        <x:v>Provenance_Significance</x:v>
      </x:c>
      <x:c r="K1" s="26" t="str">
        <x:v>Existing_Ledger_Crosslink</x:v>
      </x:c>
      <x:c r="L1" s="26" t="str">
        <x:v>Correction_or_Rejection</x:v>
      </x:c>
      <x:c r="M1" s="26" t="str">
        <x:v>Commit_URL</x:v>
      </x:c>
      <x:c r="N1" s="26" t="str">
        <x:v>Web_Source_Ref</x:v>
      </x:c>
      <x:c r="O1" s="26" t="str">
        <x:v>Selection_Basis</x:v>
      </x:c>
      <x:c r="P1" s="26" t="str">
        <x:v>Notes</x:v>
      </x:c>
    </x:row>
    <x:row r="2">
      <x:c r="A2" s="11" t="str">
        <x:v>VDM-G001</x:v>
      </x:c>
      <x:c r="B2" s="11" t="str">
        <x:v>VDM</x:v>
      </x:c>
      <x:c r="C2" s="11" t="str">
        <x:v>Neuroca-Inc</x:v>
      </x:c>
      <x:c r="D2" s="14" t="str">
        <x:v>2025-08-10</x:v>
      </x:c>
      <x:c r="E2" s="11" t="str">
        <x:v>30b20e205228160d085a0091936b28a52423126b</x:v>
      </x:c>
      <x:c r="F2" s="11" t="str">
        <x:v>30b20e2</x:v>
      </x:c>
      <x:c r="G2" s="11" t="str">
        <x:v>first commit</x:v>
      </x:c>
      <x:c r="H2" s="11" t="str">
        <x:v>BASELINE</x:v>
      </x:c>
      <x:c r="I2" s="11" t="str">
        <x:v>COMMIT-DETAIL-VERIFIED</x:v>
      </x:c>
      <x:c r="J2" s="11" t="str">
        <x:v>Earliest selected public Git baseline for the VDM repository; preserves the repository's early implementation lineage rather than reconstructing it retrospectively.</x:v>
      </x:c>
      <x:c r="K2" s="11" t="str"/>
      <x:c r="L2" s="11" t="str"/>
      <x:c r="M2" s="11" t="str">
        <x:v>https://github.com/Neuroca-Inc/VDM/commit/30b20e205228160d085a0091936b28a52423126b</x:v>
      </x:c>
      <x:c r="N2" s="11" t="str">
        <x:v>turn790433view0</x:v>
      </x:c>
      <x:c r="O2" s="11" t="str">
        <x:v>repository baseline</x:v>
      </x:c>
      <x:c r="P2" s="11" t="str">
        <x:v>Public Git commit date; separate from any earlier internal development chronology.</x:v>
      </x:c>
    </x:row>
    <x:row r="3">
      <x:c r="A3" s="11" t="str">
        <x:v>VDM-G002</x:v>
      </x:c>
      <x:c r="B3" s="11" t="str">
        <x:v>VDM</x:v>
      </x:c>
      <x:c r="C3" s="11" t="str">
        <x:v>Neuroca-Inc</x:v>
      </x:c>
      <x:c r="D3" s="14" t="str">
        <x:v>2025-10-31</x:v>
      </x:c>
      <x:c r="E3" s="11" t="str">
        <x:v>3d315e7bbabc0a2d1c2afa4ccc5a72d26c836559</x:v>
      </x:c>
      <x:c r="F3" s="11" t="str">
        <x:v>3d315e7</x:v>
      </x:c>
      <x:c r="G3" s="11" t="str">
        <x:v>Add A8 Candidate axiom for Lietz Infinity Resolution</x:v>
      </x:c>
      <x:c r="H3" s="11" t="str">
        <x:v>HYPOTHESIS</x:v>
      </x:c>
      <x:c r="I3" s="11" t="str">
        <x:v>COMMIT-DETAIL-VERIFIED</x:v>
      </x:c>
      <x:c r="J3" s="11" t="str">
        <x:v>Publicly records an A8 candidate axiom for the Lietz Infinity Resolution line before the later Phase Calculus program.</x:v>
      </x:c>
      <x:c r="K3" s="11" t="str"/>
      <x:c r="L3" s="11" t="str">
        <x:v>Candidate status is retained as candidate; not rewritten as a later theorem.</x:v>
      </x:c>
      <x:c r="M3" s="11" t="str">
        <x:v>https://github.com/Neuroca-Inc/VDM/commit/3d315e7bbabc0a2d1c2afa4ccc5a72d26c836559</x:v>
      </x:c>
      <x:c r="N3" s="11" t="str">
        <x:v>turn790433view1</x:v>
      </x:c>
      <x:c r="O3" s="11" t="str">
        <x:v>new hypothesis / precursor</x:v>
      </x:c>
      <x:c r="P3" s="11" t="str"/>
    </x:row>
    <x:row r="4">
      <x:c r="A4" s="11" t="str">
        <x:v>VDM-G003</x:v>
      </x:c>
      <x:c r="B4" s="11" t="str">
        <x:v>VDM</x:v>
      </x:c>
      <x:c r="C4" s="11" t="str">
        <x:v>Neuroca-Inc</x:v>
      </x:c>
      <x:c r="D4" s="14" t="str">
        <x:v>2025-11-28</x:v>
      </x:c>
      <x:c r="E4" s="11" t="str">
        <x:v>8210882c7838507b62e80d0e355e9617db1bd6d6</x:v>
      </x:c>
      <x:c r="F4" s="11" t="str">
        <x:v>8210882</x:v>
      </x:c>
      <x:c r="G4" s="11" t="str">
        <x:v>Add CF10 program documentation for lattice hydrodynamics</x:v>
      </x:c>
      <x:c r="H4" s="11" t="str">
        <x:v>PROGRAM</x:v>
      </x:c>
      <x:c r="I4" s="11" t="str">
        <x:v>COMMIT-DETAIL-VERIFIED</x:v>
      </x:c>
      <x:c r="J4" s="11" t="str">
        <x:v>Hard public Git provenance for the lattice-hydrodynamics / Navier-Stokes CF10 program in November 2025, months before the later Phase Calculus closure work.</x:v>
      </x:c>
      <x:c r="K4" s="11" t="str">
        <x:v>PC-0016</x:v>
      </x:c>
      <x:c r="L4" s="11" t="str"/>
      <x:c r="M4" s="11" t="str">
        <x:v>https://github.com/Neuroca-Inc/VDM/commit/8210882c7838507b62e80d0e355e9617db1bd6d6</x:v>
      </x:c>
      <x:c r="N4" s="11" t="str">
        <x:v>turn790433view2</x:v>
      </x:c>
      <x:c r="O4" s="11" t="str">
        <x:v>open-program milestone</x:v>
      </x:c>
      <x:c r="P4" s="11" t="str">
        <x:v>Commit date is the public Git event; internal manuscript dates remain a distinct evidence layer.</x:v>
      </x:c>
    </x:row>
    <x:row r="5">
      <x:c r="A5" s="11" t="str">
        <x:v>VDM-G004</x:v>
      </x:c>
      <x:c r="B5" s="11" t="str">
        <x:v>VDM</x:v>
      </x:c>
      <x:c r="C5" s="11" t="str">
        <x:v>Neuroca-Inc</x:v>
      </x:c>
      <x:c r="D5" s="14" t="str">
        <x:v>2025-11-30</x:v>
      </x:c>
      <x:c r="E5" s="11" t="str">
        <x:v>61ef199882b71494adad8a0e2e640a88b9c37e9a</x:v>
      </x:c>
      <x:c r="F5" s="11" t="str">
        <x:v>61ef199</x:v>
      </x:c>
      <x:c r="G5" s="11" t="str">
        <x:v>Updated CI to include both provenance index populator and hash updater</x:v>
      </x:c>
      <x:c r="H5" s="11" t="str">
        <x:v>PROVENANCE-INFRA</x:v>
      </x:c>
      <x:c r="I5" s="11" t="str">
        <x:v>COMMIT-DETAIL-VERIFIED</x:v>
      </x:c>
      <x:c r="J5" s="11" t="str">
        <x:v>Makes provenance indexing and hash maintenance part of the repository workflow rather than an after-the-fact archival step.</x:v>
      </x:c>
      <x:c r="K5" s="11" t="str"/>
      <x:c r="L5" s="11" t="str"/>
      <x:c r="M5" s="11" t="str">
        <x:v>https://github.com/Neuroca-Inc/VDM/commit/61ef199882b71494adad8a0e2e640a88b9c37e9a</x:v>
      </x:c>
      <x:c r="N5" s="11" t="str">
        <x:v>turn790433view11</x:v>
      </x:c>
      <x:c r="O5" s="11" t="str">
        <x:v>provenance infrastructure</x:v>
      </x:c>
      <x:c r="P5" s="11" t="str"/>
    </x:row>
    <x:row r="6">
      <x:c r="A6" s="11" t="str">
        <x:v>VDM-G005</x:v>
      </x:c>
      <x:c r="B6" s="11" t="str">
        <x:v>VDM</x:v>
      </x:c>
      <x:c r="C6" s="11" t="str">
        <x:v>Neuroca-Inc</x:v>
      </x:c>
      <x:c r="D6" s="14" t="str">
        <x:v>2026-03-01</x:v>
      </x:c>
      <x:c r="E6" s="11" t="str">
        <x:v>7fde0b0c60c8d8e629335e30b7eeb0f61e0fb678</x:v>
      </x:c>
      <x:c r="F6" s="11" t="str">
        <x:v>7fde0b0</x:v>
      </x:c>
      <x:c r="G6" s="11" t="str">
        <x:v>Update DIRECTIVE_Runtime_Physics_Migration_v8</x:v>
      </x:c>
      <x:c r="H6" s="11" t="str">
        <x:v>MIGRATION</x:v>
      </x:c>
      <x:c r="I6" s="11" t="str">
        <x:v>COMMIT-DETAIL-VERIFIED</x:v>
      </x:c>
      <x:c r="J6" s="11" t="str">
        <x:v>Marks the runtime-physics migration program as an explicit versioned directive in the public history.</x:v>
      </x:c>
      <x:c r="K6" s="11" t="str"/>
      <x:c r="L6" s="11" t="str"/>
      <x:c r="M6" s="11" t="str">
        <x:v>https://github.com/Neuroca-Inc/VDM/commit/7fde0b0c60c8d8e629335e30b7eeb0f61e0fb678</x:v>
      </x:c>
      <x:c r="N6" s="11" t="str">
        <x:v>turn790433view10</x:v>
      </x:c>
      <x:c r="O6" s="11" t="str">
        <x:v>architecture migration</x:v>
      </x:c>
      <x:c r="P6" s="11" t="str"/>
    </x:row>
    <x:row r="7">
      <x:c r="A7" s="11" t="str">
        <x:v>VDM-G006</x:v>
      </x:c>
      <x:c r="B7" s="11" t="str">
        <x:v>VDM</x:v>
      </x:c>
      <x:c r="C7" s="11" t="str">
        <x:v>Neuroca-Inc</x:v>
      </x:c>
      <x:c r="D7" s="14" t="str">
        <x:v>2026-03-13</x:v>
      </x:c>
      <x:c r="E7" s="11" t="str">
        <x:v>501b29ef20b2b4b120744e0957539d6af5570441</x:v>
      </x:c>
      <x:c r="F7" s="11" t="str">
        <x:v>501b29e</x:v>
      </x:c>
      <x:c r="G7" s="11" t="str">
        <x:v>Add Primitive Bifurcation Hypothesis (H000) details</x:v>
      </x:c>
      <x:c r="H7" s="11" t="str">
        <x:v>HYPOTHESIS</x:v>
      </x:c>
      <x:c r="I7" s="11" t="str">
        <x:v>COMMIT-DETAIL-VERIFIED</x:v>
      </x:c>
      <x:c r="J7" s="11" t="str">
        <x:v>Publicly records the Primitive Bifurcation Hypothesis as a hypothesis-stage object immediately before CF000-era foundational work.</x:v>
      </x:c>
      <x:c r="K7" s="11" t="str">
        <x:v>PC-0001</x:v>
      </x:c>
      <x:c r="L7" s="11" t="str">
        <x:v>Hypothesis status preserved.</x:v>
      </x:c>
      <x:c r="M7" s="11" t="str">
        <x:v>https://github.com/Neuroca-Inc/VDM/commit/501b29ef20b2b4b120744e0957539d6af5570441</x:v>
      </x:c>
      <x:c r="N7" s="11" t="str">
        <x:v>turn790433view3</x:v>
      </x:c>
      <x:c r="O7" s="11" t="str">
        <x:v>foundational hypothesis</x:v>
      </x:c>
      <x:c r="P7" s="11" t="str"/>
    </x:row>
    <x:row r="8">
      <x:c r="A8" s="11" t="str">
        <x:v>VDM-G007</x:v>
      </x:c>
      <x:c r="B8" s="11" t="str">
        <x:v>VDM</x:v>
      </x:c>
      <x:c r="C8" s="11" t="str">
        <x:v>Neuroca-Inc</x:v>
      </x:c>
      <x:c r="D8" s="14" t="str">
        <x:v>2026-03-14</x:v>
      </x:c>
      <x:c r="E8" s="11" t="str">
        <x:v>47b8eb164b07ae116b2174fa0a46091764e849eb</x:v>
      </x:c>
      <x:c r="F8" s="11" t="str">
        <x:v>47b8eb1</x:v>
      </x:c>
      <x:c r="G8" s="11" t="str">
        <x:v>Update CF000_Primitive_Distinguishability_and_the_Origin_of_Differentiability.md</x:v>
      </x:c>
      <x:c r="H8" s="11" t="str">
        <x:v>FOUNDATION</x:v>
      </x:c>
      <x:c r="I8" s="11" t="str">
        <x:v>COMMIT-DETAIL-VERIFIED</x:v>
      </x:c>
      <x:c r="J8" s="11" t="str">
        <x:v>Public Git evidence for active CF000 primitive-distinguishability development at the start of the documented Phase Calculus ancestry.</x:v>
      </x:c>
      <x:c r="K8" s="11" t="str">
        <x:v>PC-0001</x:v>
      </x:c>
      <x:c r="L8" s="11" t="str"/>
      <x:c r="M8" s="11" t="str">
        <x:v>https://github.com/Neuroca-Inc/VDM/commit/47b8eb164b07ae116b2174fa0a46091764e849eb</x:v>
      </x:c>
      <x:c r="N8" s="11" t="str">
        <x:v>turn790433view4</x:v>
      </x:c>
      <x:c r="O8" s="11" t="str">
        <x:v>foundational theorem development</x:v>
      </x:c>
      <x:c r="P8" s="11" t="str"/>
    </x:row>
    <x:row r="9">
      <x:c r="A9" s="11" t="str">
        <x:v>VDM-G008</x:v>
      </x:c>
      <x:c r="B9" s="11" t="str">
        <x:v>VDM</x:v>
      </x:c>
      <x:c r="C9" s="11" t="str">
        <x:v>Neuroca-Inc</x:v>
      </x:c>
      <x:c r="D9" s="14" t="str">
        <x:v>2026-03-20</x:v>
      </x:c>
      <x:c r="E9" s="11" t="str">
        <x:v>a1b6010a98c66fe4f610eb6fbedf90ef58ce5edf</x:v>
      </x:c>
      <x:c r="F9" s="11" t="str">
        <x:v>a1b6010</x:v>
      </x:c>
      <x:c r="G9" s="11" t="str">
        <x:v>Create VDM_Canon_Ledger_DRAFT.md</x:v>
      </x:c>
      <x:c r="H9" s="11" t="str">
        <x:v>CANON</x:v>
      </x:c>
      <x:c r="I9" s="11" t="str">
        <x:v>COMMIT-DETAIL-VERIFIED</x:v>
      </x:c>
      <x:c r="J9" s="11" t="str">
        <x:v>Introduces an explicit canon ledger into the public repository, preserving claim-status and authority-boundary work as a first-class artifact.</x:v>
      </x:c>
      <x:c r="K9" s="11" t="str">
        <x:v>PC-0001</x:v>
      </x:c>
      <x:c r="L9" s="11" t="str"/>
      <x:c r="M9" s="11" t="str">
        <x:v>https://github.com/Neuroca-Inc/VDM/commit/a1b6010a98c66fe4f610eb6fbedf90ef58ce5edf</x:v>
      </x:c>
      <x:c r="N9" s="11" t="str">
        <x:v>turn790433view5</x:v>
      </x:c>
      <x:c r="O9" s="11" t="str">
        <x:v>canon / custody infrastructure</x:v>
      </x:c>
      <x:c r="P9" s="11" t="str"/>
    </x:row>
    <x:row r="10">
      <x:c r="A10" s="11" t="str">
        <x:v>VDM-G009</x:v>
      </x:c>
      <x:c r="B10" s="11" t="str">
        <x:v>VDM</x:v>
      </x:c>
      <x:c r="C10" s="11" t="str">
        <x:v>Neuroca-Inc</x:v>
      </x:c>
      <x:c r="D10" s="14" t="str">
        <x:v>2026-03-21</x:v>
      </x:c>
      <x:c r="E10" s="11" t="str">
        <x:v>3268e338fa207af6f9205e14d019be7333697237</x:v>
      </x:c>
      <x:c r="F10" s="11" t="str">
        <x:v>3268e33</x:v>
      </x:c>
      <x:c r="G10" s="11" t="str">
        <x:v>Create A_minus_one_Primitive_Kernel.md</x:v>
      </x:c>
      <x:c r="H10" s="11" t="str">
        <x:v>FOUNDATION</x:v>
      </x:c>
      <x:c r="I10" s="11" t="str">
        <x:v>COMMIT-DETAIL-VERIFIED</x:v>
      </x:c>
      <x:c r="J10" s="11" t="str">
        <x:v>Adds a named primitive-kernel artifact immediately upstream of the Farey / CF19 Phase Calculus development window.</x:v>
      </x:c>
      <x:c r="K10" s="11" t="str">
        <x:v>PC-0001</x:v>
      </x:c>
      <x:c r="L10" s="11" t="str"/>
      <x:c r="M10" s="11" t="str">
        <x:v>https://github.com/Neuroca-Inc/VDM/commit/3268e338fa207af6f9205e14d019be7333697237</x:v>
      </x:c>
      <x:c r="N10" s="11" t="str">
        <x:v>turn790433view6</x:v>
      </x:c>
      <x:c r="O10" s="11" t="str">
        <x:v>primitive-kernel milestone</x:v>
      </x:c>
      <x:c r="P10" s="11" t="str"/>
    </x:row>
    <x:row r="11">
      <x:c r="A11" s="11" t="str">
        <x:v>VDM-G010</x:v>
      </x:c>
      <x:c r="B11" s="11" t="str">
        <x:v>VDM</x:v>
      </x:c>
      <x:c r="C11" s="11" t="str">
        <x:v>Neuroca-Inc</x:v>
      </x:c>
      <x:c r="D11" s="14" t="str">
        <x:v>2026-03-22</x:v>
      </x:c>
      <x:c r="E11" s="11" t="str">
        <x:v>c648922a3a1a63c99af1aee21f918ca52d00d8c2</x:v>
      </x:c>
      <x:c r="F11" s="11" t="str">
        <x:v>c648922</x:v>
      </x:c>
      <x:c r="G11" s="11" t="str">
        <x:v>Update VDM_Assembly_Runtime_Specification.md</x:v>
      </x:c>
      <x:c r="H11" s="11" t="str">
        <x:v>IMPLEMENTATION</x:v>
      </x:c>
      <x:c r="I11" s="11" t="str">
        <x:v>COMMIT-DETAIL-VERIFIED</x:v>
      </x:c>
      <x:c r="J11" s="11" t="str">
        <x:v>Publicly timestamps the assembly-runtime specification during the same period in which the formal primitive program was being consolidated.</x:v>
      </x:c>
      <x:c r="K11" s="11" t="str"/>
      <x:c r="L11" s="11" t="str"/>
      <x:c r="M11" s="11" t="str">
        <x:v>https://github.com/Neuroca-Inc/VDM/commit/c648922a3a1a63c99af1aee21f918ca52d00d8c2</x:v>
      </x:c>
      <x:c r="N11" s="11" t="str">
        <x:v>turn790433view7</x:v>
      </x:c>
      <x:c r="O11" s="11" t="str">
        <x:v>implementation authority boundary</x:v>
      </x:c>
      <x:c r="P11" s="11" t="str"/>
    </x:row>
    <x:row r="12">
      <x:c r="A12" s="11" t="str">
        <x:v>VDM-G011</x:v>
      </x:c>
      <x:c r="B12" s="11" t="str">
        <x:v>VDM</x:v>
      </x:c>
      <x:c r="C12" s="11" t="str">
        <x:v>Neuroca-Inc</x:v>
      </x:c>
      <x:c r="D12" s="14" t="str">
        <x:v>2026-04-13</x:v>
      </x:c>
      <x:c r="E12" s="11" t="str">
        <x:v>61562ec6ea416272c237411cb761dea24f116689</x:v>
      </x:c>
      <x:c r="F12" s="11" t="str">
        <x:v>61562ec</x:v>
      </x:c>
      <x:c r="G12" s="11" t="str">
        <x:v>Added several CF notebooks, and updated vdm rt v9 with raw logs and analysis</x:v>
      </x:c>
      <x:c r="H12" s="11" t="str">
        <x:v>VERIFICATION</x:v>
      </x:c>
      <x:c r="I12" s="11" t="str">
        <x:v>COMMIT-DETAIL-VERIFIED</x:v>
      </x:c>
      <x:c r="J12" s="11" t="str">
        <x:v>Links formal CF development to executable notebooks and raw runtime evidence in one public commit.</x:v>
      </x:c>
      <x:c r="K12" s="11" t="str"/>
      <x:c r="L12" s="11" t="str"/>
      <x:c r="M12" s="11" t="str">
        <x:v>https://github.com/Neuroca-Inc/VDM/commit/61562ec6ea416272c237411cb761dea24f116689</x:v>
      </x:c>
      <x:c r="N12" s="11" t="str">
        <x:v>turn790433view8</x:v>
      </x:c>
      <x:c r="O12" s="11" t="str">
        <x:v>evidence / reproducibility milestone</x:v>
      </x:c>
      <x:c r="P12" s="11" t="str"/>
    </x:row>
    <x:row r="13">
      <x:c r="A13" s="11" t="str">
        <x:v>VDM-G012</x:v>
      </x:c>
      <x:c r="B13" s="11" t="str">
        <x:v>VDM</x:v>
      </x:c>
      <x:c r="C13" s="11" t="str">
        <x:v>Neuroca-Inc</x:v>
      </x:c>
      <x:c r="D13" s="14" t="str">
        <x:v>2026-04-24</x:v>
      </x:c>
      <x:c r="E13" s="11" t="str">
        <x:v>04764ed6db0dacb7cafcbb68ebea5ab75220c52a</x:v>
      </x:c>
      <x:c r="F13" s="11" t="str">
        <x:v>04764ed</x:v>
      </x:c>
      <x:c r="G13" s="11" t="str">
        <x:v>Update README with Lean4 repository information</x:v>
      </x:c>
      <x:c r="H13" s="11" t="str">
        <x:v>VERIFICATION-INFRA</x:v>
      </x:c>
      <x:c r="I13" s="11" t="str">
        <x:v>COMMIT-DETAIL-VERIFIED</x:v>
      </x:c>
      <x:c r="J13" s="11" t="str">
        <x:v>Publicly links the VDM repository surface to Lean 4 formal-verification material.</x:v>
      </x:c>
      <x:c r="K13" s="11" t="str"/>
      <x:c r="L13" s="11" t="str"/>
      <x:c r="M13" s="11" t="str">
        <x:v>https://github.com/Neuroca-Inc/VDM/commit/04764ed6db0dacb7cafcbb68ebea5ab75220c52a</x:v>
      </x:c>
      <x:c r="N13" s="11" t="str">
        <x:v>turn790433view9</x:v>
      </x:c>
      <x:c r="O13" s="11" t="str">
        <x:v>formal verification infrastructure</x:v>
      </x:c>
      <x:c r="P13" s="11" t="str"/>
    </x:row>
    <x:row r="14">
      <x:c r="A14" s="11" t="str">
        <x:v>PBL-G001</x:v>
      </x:c>
      <x:c r="B14" s="11" t="str">
        <x:v>primitive_bifurcation_law_VDM</x:v>
      </x:c>
      <x:c r="C14" s="11" t="str">
        <x:v>justinlietz93</x:v>
      </x:c>
      <x:c r="D14" s="14" t="str">
        <x:v>2026-03-23</x:v>
      </x:c>
      <x:c r="E14" s="11" t="str">
        <x:v>47b40aa6305632e4a4115efd078f173c90e7ac6a</x:v>
      </x:c>
      <x:c r="F14" s="11" t="str">
        <x:v>47b40aa</x:v>
      </x:c>
      <x:c r="G14" s="11" t="str">
        <x:v>Create origin_operator_discriminator.md</x:v>
      </x:c>
      <x:c r="H14" s="11" t="str">
        <x:v>CORRECTION/EXPERIMENT</x:v>
      </x:c>
      <x:c r="I14" s="11" t="str">
        <x:v>COMMIT-DETAIL-VERIFIED</x:v>
      </x:c>
      <x:c r="J14" s="11" t="str">
        <x:v>The commit explicitly identifies why an earlier executable-choke test was insufficient, replaces it with a corrected successor-opcode discriminator, and records immediate local executable-class admission.</x:v>
      </x:c>
      <x:c r="K14" s="11" t="str">
        <x:v>PC-0001</x:v>
      </x:c>
      <x:c r="L14" s="11" t="str">
        <x:v>Earlier LOCK CMPXCHG choke was retained as a host-pressure witness but rejected as sufficient proof of executed instruction-class change.</x:v>
      </x:c>
      <x:c r="M14" s="11" t="str">
        <x:v>https://github.com/justinlietz93/primitive_bifurcation_law_VDM/commit/47b40aa6305632e4a4115efd078f173c90e7ac6a</x:v>
      </x:c>
      <x:c r="N14" s="11" t="str">
        <x:v>turn588175view0</x:v>
      </x:c>
      <x:c r="O14" s="11" t="str">
        <x:v>explicit correction + stronger discriminator</x:v>
      </x:c>
      <x:c r="P14" s="11" t="str">
        <x:v>One of the strongest provenance rows because the failed interpretation is documented inside the correcting commit.</x:v>
      </x:c>
    </x:row>
    <x:row r="15">
      <x:c r="A15" s="11" t="str">
        <x:v>PBL-G002</x:v>
      </x:c>
      <x:c r="B15" s="11" t="str">
        <x:v>primitive_bifurcation_law_VDM</x:v>
      </x:c>
      <x:c r="C15" s="11" t="str">
        <x:v>justinlietz93</x:v>
      </x:c>
      <x:c r="D15" s="14" t="str">
        <x:v>2026-03-23</x:v>
      </x:c>
      <x:c r="E15" s="11" t="str">
        <x:v>723573ac05a817bd5b0b49850347eef176250356</x:v>
      </x:c>
      <x:c r="F15" s="11" t="str">
        <x:v>723573a</x:v>
      </x:c>
      <x:c r="G15" s="11" t="str">
        <x:v>Delete a_minus_1_programmable_reference.md</x:v>
      </x:c>
      <x:c r="H15" s="11" t="str">
        <x:v>CORRECTION/REJECTION</x:v>
      </x:c>
      <x:c r="I15" s="11" t="str">
        <x:v>COMMIT-DETAIL-VERIFIED</x:v>
      </x:c>
      <x:c r="J15" s="11" t="str">
        <x:v>Publicly records removal of a 410-line programmable-reference artifact during the primitive-bifurcation investigation.</x:v>
      </x:c>
      <x:c r="K15" s="11" t="str">
        <x:v>PC-0001</x:v>
      </x:c>
      <x:c r="L15" s="11" t="str">
        <x:v>Artifact removed from the repository history; the commit itself does not state the mathematical reason.</x:v>
      </x:c>
      <x:c r="M15" s="11" t="str">
        <x:v>https://github.com/justinlietz93/primitive_bifurcation_law_VDM/commit/723573ac05a817bd5b0b49850347eef176250356</x:v>
      </x:c>
      <x:c r="N15" s="11" t="str">
        <x:v>turn588175view1</x:v>
      </x:c>
      <x:c r="O15" s="11" t="str">
        <x:v>explicit removal / negative provenance</x:v>
      </x:c>
      <x:c r="P15" s="11" t="str">
        <x:v>Do not infer a reason beyond the deletion without another source.</x:v>
      </x:c>
    </x:row>
    <x:row r="16">
      <x:c r="A16" s="11" t="str">
        <x:v>PBL-G003</x:v>
      </x:c>
      <x:c r="B16" s="11" t="str">
        <x:v>primitive_bifurcation_law_VDM</x:v>
      </x:c>
      <x:c r="C16" s="11" t="str">
        <x:v>justinlietz93</x:v>
      </x:c>
      <x:c r="D16" s="14" t="str">
        <x:v>2026-03-23</x:v>
      </x:c>
      <x:c r="E16" s="11" t="str">
        <x:v>ab558fbba7748a4b2ffb0d6ff2839014a5666fb5</x:v>
      </x:c>
      <x:c r="F16" s="11" t="str">
        <x:v>ab558fb</x:v>
      </x:c>
      <x:c r="G16" s="11" t="str">
        <x:v>Update Mathematical and Computational Generative Structures and Formulas - Table 1.csv</x:v>
      </x:c>
      <x:c r="H16" s="11" t="str">
        <x:v>REFERENCE/CANON</x:v>
      </x:c>
      <x:c r="I16" s="11" t="str">
        <x:v>COMMIT-DETAIL-VERIFIED</x:v>
      </x:c>
      <x:c r="J16" s="11" t="str">
        <x:v>Updates the structured mathematical/computational reference table used during the primitive-generative investigation.</x:v>
      </x:c>
      <x:c r="K16" s="11" t="str">
        <x:v>PC-0001</x:v>
      </x:c>
      <x:c r="L16" s="11" t="str"/>
      <x:c r="M16" s="11" t="str">
        <x:v>https://github.com/justinlietz93/primitive_bifurcation_law_VDM/commit/ab558fbba7748a4b2ffb0d6ff2839014a5666fb5</x:v>
      </x:c>
      <x:c r="N16" s="11" t="str">
        <x:v>turn588175view2</x:v>
      </x:c>
      <x:c r="O16" s="11" t="str">
        <x:v>structured reference update</x:v>
      </x:c>
      <x:c r="P16" s="11" t="str">
        <x:v>Selected because it changes the mathematical reference surface, not merely repository housekeeping.</x:v>
      </x:c>
    </x:row>
    <x:row r="17">
      <x:c r="A17" s="11" t="str">
        <x:v>TAO-G001</x:v>
      </x:c>
      <x:c r="B17" s="11" t="str">
        <x:v>Taoism-Mathematics-Research-Project-Internal</x:v>
      </x:c>
      <x:c r="C17" s="11" t="str">
        <x:v>justinlietz93</x:v>
      </x:c>
      <x:c r="D17" s="14" t="str">
        <x:v>2026-06-26</x:v>
      </x:c>
      <x:c r="E17" s="11" t="str">
        <x:v>b66f45a7081dd1f2eaa96b83ce04a0b06f6a5b4d</x:v>
      </x:c>
      <x:c r="F17" s="11" t="str">
        <x:v>b66f45a</x:v>
      </x:c>
      <x:c r="G17" s="11" t="str">
        <x:v>begin phase 5 v8</x:v>
      </x:c>
      <x:c r="H17" s="11" t="str">
        <x:v>DERIVATION</x:v>
      </x:c>
      <x:c r="I17" s="11" t="str">
        <x:v>COMMIT-DETAIL-VERIFIED</x:v>
      </x:c>
      <x:c r="J17" s="11" t="str">
        <x:v>Marks the start of the Phase 5 v8 branch that later accumulates the audited QBL/Orthad results.</x:v>
      </x:c>
      <x:c r="K17" s="11" t="str">
        <x:v>PC-0013</x:v>
      </x:c>
      <x:c r="L17" s="11" t="str"/>
      <x:c r="M17" s="11" t="str">
        <x:v>https://github.com/justinlietz93/Taoism-Mathematics-Research-Project-Internal/commit/b66f45a7081dd1f2eaa96b83ce04a0b06f6a5b4d</x:v>
      </x:c>
      <x:c r="N17" s="11" t="str">
        <x:v>turn252464view9</x:v>
      </x:c>
      <x:c r="O17" s="11" t="str">
        <x:v>new derivation phase</x:v>
      </x:c>
      <x:c r="P17" s="11" t="str"/>
    </x:row>
    <x:row r="18">
      <x:c r="A18" s="11" t="str">
        <x:v>TAO-G002</x:v>
      </x:c>
      <x:c r="B18" s="11" t="str">
        <x:v>Taoism-Mathematics-Research-Project-Internal</x:v>
      </x:c>
      <x:c r="C18" s="11" t="str">
        <x:v>justinlietz93</x:v>
      </x:c>
      <x:c r="D18" s="14" t="str">
        <x:v>2026-07-08</x:v>
      </x:c>
      <x:c r="E18" s="11" t="str">
        <x:v>7286d670e2c12ab54ff6c6d07c1ebebf7aecd1ab</x:v>
      </x:c>
      <x:c r="F18" s="11" t="str">
        <x:v>7286d67</x:v>
      </x:c>
      <x:c r="G18" s="11" t="str">
        <x:v>Add PHASE 5 CANONICAL LEDGER with comprehensive documentation and status tracking</x:v>
      </x:c>
      <x:c r="H18" s="11" t="str">
        <x:v>CANON</x:v>
      </x:c>
      <x:c r="I18" s="11" t="str">
        <x:v>COMMIT-DETAIL-VERIFIED</x:v>
      </x:c>
      <x:c r="J18" s="11" t="str">
        <x:v>Makes Phase 5 claim status, custody, and canonical tracking explicit inside the Git history.</x:v>
      </x:c>
      <x:c r="K18" s="11" t="str">
        <x:v>PC-0013</x:v>
      </x:c>
      <x:c r="L18" s="11" t="str"/>
      <x:c r="M18" s="11" t="str">
        <x:v>https://github.com/justinlietz93/Taoism-Mathematics-Research-Project-Internal/commit/7286d670e2c12ab54ff6c6d07c1ebebf7aecd1ab</x:v>
      </x:c>
      <x:c r="N18" s="11" t="str">
        <x:v>turn252464view8</x:v>
      </x:c>
      <x:c r="O18" s="11" t="str">
        <x:v>canonization / custody</x:v>
      </x:c>
      <x:c r="P18" s="11" t="str"/>
    </x:row>
    <x:row r="19">
      <x:c r="A19" s="11" t="str">
        <x:v>TAO-G003</x:v>
      </x:c>
      <x:c r="B19" s="11" t="str">
        <x:v>Taoism-Mathematics-Research-Project-Internal</x:v>
      </x:c>
      <x:c r="C19" s="11" t="str">
        <x:v>justinlietz93</x:v>
      </x:c>
      <x:c r="D19" s="14" t="str">
        <x:v>2026-07-09</x:v>
      </x:c>
      <x:c r="E19" s="11" t="str">
        <x:v>676ca6330ceaa09255e28c303697d294185a6d7c</x:v>
      </x:c>
      <x:c r="F19" s="11" t="str">
        <x:v>676ca63</x:v>
      </x:c>
      <x:c r="G19" s="11" t="str">
        <x:v>Added Phase 5 v8d orthad generated fqm subclass</x:v>
      </x:c>
      <x:c r="H19" s="11" t="str">
        <x:v>ORTHAD</x:v>
      </x:c>
      <x:c r="I19" s="11" t="str">
        <x:v>COMMIT-DETAIL-VERIFIED</x:v>
      </x:c>
      <x:c r="J19" s="11" t="str">
        <x:v>Public commit milestone showing Orthad-generated FQM structure entering the Phase 5 investigation.</x:v>
      </x:c>
      <x:c r="K19" s="11" t="str">
        <x:v>PC-0012;PC-0013</x:v>
      </x:c>
      <x:c r="L19" s="11" t="str"/>
      <x:c r="M19" s="11" t="str">
        <x:v>https://github.com/justinlietz93/Taoism-Mathematics-Research-Project-Internal/commit/676ca6330ceaa09255e28c303697d294185a6d7c</x:v>
      </x:c>
      <x:c r="N19" s="11" t="str">
        <x:v>turn252464view7</x:v>
      </x:c>
      <x:c r="O19" s="11" t="str">
        <x:v>Orthad structural development</x:v>
      </x:c>
      <x:c r="P19" s="11" t="str"/>
    </x:row>
    <x:row r="20">
      <x:c r="A20" s="11" t="str">
        <x:v>TAO-G004</x:v>
      </x:c>
      <x:c r="B20" s="11" t="str">
        <x:v>Taoism-Mathematics-Research-Project-Internal</x:v>
      </x:c>
      <x:c r="C20" s="11" t="str">
        <x:v>justinlietz93</x:v>
      </x:c>
      <x:c r="D20" s="14" t="str">
        <x:v>2026-07-10</x:v>
      </x:c>
      <x:c r="E20" s="11" t="str">
        <x:v>1be580904fb6e66b8cf09bb2415ea9bedda3d9d6</x:v>
      </x:c>
      <x:c r="F20" s="11" t="str">
        <x:v>1be5809</x:v>
      </x:c>
      <x:c r="G20" s="11" t="str">
        <x:v>Add verification script and update sealed JSON files for Phase 5</x:v>
      </x:c>
      <x:c r="H20" s="11" t="str">
        <x:v>VERIFICATION</x:v>
      </x:c>
      <x:c r="I20" s="11" t="str">
        <x:v>COMMIT-DETAIL-VERIFIED</x:v>
      </x:c>
      <x:c r="J20" s="11" t="str">
        <x:v>Adds executable verification while updating sealed evidence artifacts, strengthening reproducibility and custody.</x:v>
      </x:c>
      <x:c r="K20" s="11" t="str">
        <x:v>PC-0013</x:v>
      </x:c>
      <x:c r="L20" s="11" t="str"/>
      <x:c r="M20" s="11" t="str">
        <x:v>https://github.com/justinlietz93/Taoism-Mathematics-Research-Project-Internal/commit/1be580904fb6e66b8cf09bb2415ea9bedda3d9d6</x:v>
      </x:c>
      <x:c r="N20" s="11" t="str">
        <x:v>turn252464view6</x:v>
      </x:c>
      <x:c r="O20" s="11" t="str">
        <x:v>verification + sealed evidence</x:v>
      </x:c>
      <x:c r="P20" s="11" t="str"/>
    </x:row>
    <x:row r="21">
      <x:c r="A21" s="11" t="str">
        <x:v>TAO-G005</x:v>
      </x:c>
      <x:c r="B21" s="11" t="str">
        <x:v>Taoism-Mathematics-Research-Project-Internal</x:v>
      </x:c>
      <x:c r="C21" s="11" t="str">
        <x:v>justinlietz93</x:v>
      </x:c>
      <x:c r="D21" s="14" t="str">
        <x:v>2026-07-10</x:v>
      </x:c>
      <x:c r="E21" s="11" t="str">
        <x:v>d0dd6d2e5fa228a8c57f8decffe45e6a116ec1a1</x:v>
      </x:c>
      <x:c r="F21" s="11" t="str">
        <x:v>d0dd6d2</x:v>
      </x:c>
      <x:c r="G21" s="11" t="str">
        <x:v>Add new source files and data for Phase 5 v8m external audit and core radical purity diagnosis</x:v>
      </x:c>
      <x:c r="H21" s="11" t="str">
        <x:v>AUDIT</x:v>
      </x:c>
      <x:c r="I21" s="11" t="str">
        <x:v>COMMIT-DETAIL-VERIFIED</x:v>
      </x:c>
      <x:c r="J21" s="11" t="str">
        <x:v>Creates an explicit external-audit and diagnostic evidence layer inside the derivation branch.</x:v>
      </x:c>
      <x:c r="K21" s="11" t="str">
        <x:v>PC-0013</x:v>
      </x:c>
      <x:c r="L21" s="11" t="str"/>
      <x:c r="M21" s="11" t="str">
        <x:v>https://github.com/justinlietz93/Taoism-Mathematics-Research-Project-Internal/commit/d0dd6d2e5fa228a8c57f8decffe45e6a116ec1a1</x:v>
      </x:c>
      <x:c r="N21" s="11" t="str">
        <x:v>turn252464view5</x:v>
      </x:c>
      <x:c r="O21" s="11" t="str">
        <x:v>external audit / diagnosis</x:v>
      </x:c>
      <x:c r="P21" s="11" t="str"/>
    </x:row>
    <x:row r="22">
      <x:c r="A22" s="11" t="str">
        <x:v>TAO-G006</x:v>
      </x:c>
      <x:c r="B22" s="11" t="str">
        <x:v>Taoism-Mathematics-Research-Project-Internal</x:v>
      </x:c>
      <x:c r="C22" s="11" t="str">
        <x:v>justinlietz93</x:v>
      </x:c>
      <x:c r="D22" s="14" t="str">
        <x:v>2026-07-11</x:v>
      </x:c>
      <x:c r="E22" s="11" t="str">
        <x:v>1c3ce406daeeeb8b2af1e39ee5dd5cdcad3361c8</x:v>
      </x:c>
      <x:c r="F22" s="11" t="str">
        <x:v>1c3ce40</x:v>
      </x:c>
      <x:c r="G22" s="11" t="str">
        <x:v>Add QBL Prime-Pattern Watch package with scanner and documentation</x:v>
      </x:c>
      <x:c r="H22" s="11" t="str">
        <x:v>EXPERIMENT</x:v>
      </x:c>
      <x:c r="I22" s="11" t="str">
        <x:v>COMMIT-DETAIL-VERIFIED</x:v>
      </x:c>
      <x:c r="J22" s="11" t="str">
        <x:v>Adds a dedicated QBL scanning/watch package as a falsifiable empirical instrument rather than a prose-only observation.</x:v>
      </x:c>
      <x:c r="K22" s="11" t="str">
        <x:v>PC-0013</x:v>
      </x:c>
      <x:c r="L22" s="11" t="str"/>
      <x:c r="M22" s="11" t="str">
        <x:v>https://github.com/justinlietz93/Taoism-Mathematics-Research-Project-Internal/commit/1c3ce406daeeeb8b2af1e39ee5dd5cdcad3361c8</x:v>
      </x:c>
      <x:c r="N22" s="11" t="str">
        <x:v>turn839169view1</x:v>
      </x:c>
      <x:c r="O22" s="11" t="str">
        <x:v>instrument / observational test</x:v>
      </x:c>
      <x:c r="P22" s="11" t="str"/>
    </x:row>
    <x:row r="23">
      <x:c r="A23" s="11" t="str">
        <x:v>TAO-G007</x:v>
      </x:c>
      <x:c r="B23" s="11" t="str">
        <x:v>Taoism-Mathematics-Research-Project-Internal</x:v>
      </x:c>
      <x:c r="C23" s="11" t="str">
        <x:v>justinlietz93</x:v>
      </x:c>
      <x:c r="D23" s="14" t="str">
        <x:v>2026-07-11</x:v>
      </x:c>
      <x:c r="E23" s="11" t="str">
        <x:v>e2d4353cefcf373d3613292c98001030944640c4</x:v>
      </x:c>
      <x:c r="F23" s="11" t="str">
        <x:v>e2d4353</x:v>
      </x:c>
      <x:c r="G23" s="11" t="str">
        <x:v>Recurrent grammar emergence</x:v>
      </x:c>
      <x:c r="H23" s="11" t="str">
        <x:v>DERIVATION</x:v>
      </x:c>
      <x:c r="I23" s="11" t="str">
        <x:v>COMMIT-DETAIL-VERIFIED</x:v>
      </x:c>
      <x:c r="J23" s="11" t="str">
        <x:v>A high-value Phase 5 milestone: the commit contains recurrent-grammar derivation artifacts, QBL carry-J work, audits, formal proofs, and negative-control material.</x:v>
      </x:c>
      <x:c r="K23" s="11" t="str">
        <x:v>PC-0013;PC-0018</x:v>
      </x:c>
      <x:c r="L23" s="11" t="str"/>
      <x:c r="M23" s="11" t="str">
        <x:v>https://github.com/justinlietz93/Taoism-Mathematics-Research-Project-Internal/commit/e2d4353cefcf373d3613292c98001030944640c4</x:v>
      </x:c>
      <x:c r="N23" s="11" t="str">
        <x:v>turn839169view0</x:v>
      </x:c>
      <x:c r="O23" s="11" t="str">
        <x:v>derivation closure / recurrent grammar</x:v>
      </x:c>
      <x:c r="P23" s="11" t="str"/>
    </x:row>
    <x:row r="24">
      <x:c r="A24" s="11" t="str">
        <x:v>TAO-G008</x:v>
      </x:c>
      <x:c r="B24" s="11" t="str">
        <x:v>Taoism-Mathematics-Research-Project-Internal</x:v>
      </x:c>
      <x:c r="C24" s="11" t="str">
        <x:v>justinlietz93</x:v>
      </x:c>
      <x:c r="D24" s="14" t="str">
        <x:v>2026-07-11</x:v>
      </x:c>
      <x:c r="E24" s="11" t="str">
        <x:v>0c48cc1f76cd101fd63032ad0c1a331932e511e2</x:v>
      </x:c>
      <x:c r="F24" s="11" t="str">
        <x:v>0c48cc1</x:v>
      </x:c>
      <x:c r="G24" s="11" t="str">
        <x:v>Add scripts for threshold derivation and package verification</x:v>
      </x:c>
      <x:c r="H24" s="11" t="str">
        <x:v>VERIFICATION</x:v>
      </x:c>
      <x:c r="I24" s="11" t="str">
        <x:v>COMMIT-DETAIL-VERIFIED</x:v>
      </x:c>
      <x:c r="J24" s="11" t="str">
        <x:v>Makes threshold derivation executable and pairs it with package verification.</x:v>
      </x:c>
      <x:c r="K24" s="11" t="str">
        <x:v>PC-0018</x:v>
      </x:c>
      <x:c r="L24" s="11" t="str"/>
      <x:c r="M24" s="11" t="str">
        <x:v>https://github.com/justinlietz93/Taoism-Mathematics-Research-Project-Internal/commit/0c48cc1f76cd101fd63032ad0c1a331932e511e2</x:v>
      </x:c>
      <x:c r="N24" s="11" t="str">
        <x:v>turn252464view3</x:v>
      </x:c>
      <x:c r="O24" s="11" t="str">
        <x:v>threshold derivation + verification</x:v>
      </x:c>
      <x:c r="P24" s="11" t="str"/>
    </x:row>
    <x:row r="25">
      <x:c r="A25" s="11" t="str">
        <x:v>TAO-G009</x:v>
      </x:c>
      <x:c r="B25" s="11" t="str">
        <x:v>Taoism-Mathematics-Research-Project-Internal</x:v>
      </x:c>
      <x:c r="C25" s="11" t="str">
        <x:v>justinlietz93</x:v>
      </x:c>
      <x:c r="D25" s="14" t="str">
        <x:v>2026-07-11</x:v>
      </x:c>
      <x:c r="E25" s="11" t="str">
        <x:v>faf3d7709ac2322d4f316e224ad750929c34646d</x:v>
      </x:c>
      <x:c r="F25" s="11" t="str">
        <x:v>faf3d77</x:v>
      </x:c>
      <x:c r="G25" s="11" t="str">
        <x:v>Add trace logs for factor derivation and induction proof</x:v>
      </x:c>
      <x:c r="H25" s="11" t="str">
        <x:v>PROOF-TRACE</x:v>
      </x:c>
      <x:c r="I25" s="11" t="str">
        <x:v>COMMIT-DETAIL-VERIFIED</x:v>
      </x:c>
      <x:c r="J25" s="11" t="str">
        <x:v>Preserves factor derivation and induction proof as trace logs, providing fine-grained proof provenance rather than only terminal theorem statements.</x:v>
      </x:c>
      <x:c r="K25" s="11" t="str">
        <x:v>PC-0018</x:v>
      </x:c>
      <x:c r="L25" s="11" t="str"/>
      <x:c r="M25" s="11" t="str">
        <x:v>https://github.com/justinlietz93/Taoism-Mathematics-Research-Project-Internal/commit/faf3d7709ac2322d4f316e224ad750929c34646d</x:v>
      </x:c>
      <x:c r="N25" s="11" t="str">
        <x:v>turn252464view2</x:v>
      </x:c>
      <x:c r="O25" s="11" t="str">
        <x:v>proof trace / induction</x:v>
      </x:c>
      <x:c r="P25" s="11" t="str"/>
    </x:row>
    <x:row r="26">
      <x:c r="A26" s="11" t="str">
        <x:v>TAO-G010</x:v>
      </x:c>
      <x:c r="B26" s="11" t="str">
        <x:v>Taoism-Mathematics-Research-Project-Internal</x:v>
      </x:c>
      <x:c r="C26" s="11" t="str">
        <x:v>justinlietz93</x:v>
      </x:c>
      <x:c r="D26" s="14" t="str">
        <x:v>2026-07-11</x:v>
      </x:c>
      <x:c r="E26" s="11" t="str">
        <x:v>9f2ccdf22abccbacd6fbacf6a545118bbbe06826</x:v>
      </x:c>
      <x:c r="F26" s="11" t="str">
        <x:v>9f2ccdf</x:v>
      </x:c>
      <x:c r="G26" s="11" t="str">
        <x:v>working through the orthad pairing</x:v>
      </x:c>
      <x:c r="H26" s="11" t="str">
        <x:v>ORTHAD</x:v>
      </x:c>
      <x:c r="I26" s="11" t="str">
        <x:v>COMMIT-DETAIL-VERIFIED</x:v>
      </x:c>
      <x:c r="J26" s="11" t="str">
        <x:v>Publicly timestamps active work on the Orthad pairing recurrence rather than presenting the final recurrence as having appeared fully formed.</x:v>
      </x:c>
      <x:c r="K26" s="11" t="str">
        <x:v>PC-0012;PC-0013</x:v>
      </x:c>
      <x:c r="L26" s="11" t="str"/>
      <x:c r="M26" s="11" t="str">
        <x:v>https://github.com/justinlietz93/Taoism-Mathematics-Research-Project-Internal/commit/9f2ccdf22abccbacd6fbacf6a545118bbbe06826</x:v>
      </x:c>
      <x:c r="N26" s="11" t="str">
        <x:v>turn252464view1</x:v>
      </x:c>
      <x:c r="O26" s="11" t="str">
        <x:v>Orthad recurrence development</x:v>
      </x:c>
      <x:c r="P26" s="11" t="str"/>
    </x:row>
    <x:row r="27">
      <x:c r="A27" s="11" t="str">
        <x:v>TAO-G011</x:v>
      </x:c>
      <x:c r="B27" s="11" t="str">
        <x:v>Taoism-Mathematics-Research-Project-Internal</x:v>
      </x:c>
      <x:c r="C27" s="11" t="str">
        <x:v>justinlietz93</x:v>
      </x:c>
      <x:c r="D27" s="14" t="str">
        <x:v>2026-07-12</x:v>
      </x:c>
      <x:c r="E27" s="11" t="str">
        <x:v>39e096442aeee8e0d6776dcde01bc46f681bf34c</x:v>
      </x:c>
      <x:c r="F27" s="11" t="str">
        <x:v>39e0964</x:v>
      </x:c>
      <x:c r="G27" s="11" t="str">
        <x:v>updated canon documents and extracting findings from sprawling repo</x:v>
      </x:c>
      <x:c r="H27" s="11" t="str">
        <x:v>CANON/AUDIT</x:v>
      </x:c>
      <x:c r="I27" s="11" t="str">
        <x:v>COMMIT-DETAIL-VERIFIED</x:v>
      </x:c>
      <x:c r="J27" s="11" t="str">
        <x:v>Consolidates canon and extracted findings after the intensive Phase 5 derivation sequence; the commit contains canonical ledgers, custody documents, retained-state boundary material, formal artifacts, falsification outputs, and negative controls.</x:v>
      </x:c>
      <x:c r="K27" s="11" t="str">
        <x:v>PC-0013;PC-0018</x:v>
      </x:c>
      <x:c r="L27" s="11" t="str"/>
      <x:c r="M27" s="11" t="str">
        <x:v>https://github.com/justinlietz93/Taoism-Mathematics-Research-Project-Internal/commit/39e096442aeee8e0d6776dcde01bc46f681bf34c</x:v>
      </x:c>
      <x:c r="N27" s="11" t="str">
        <x:v>turn252464view0</x:v>
      </x:c>
      <x:c r="O27" s="11" t="str">
        <x:v>canon consolidation / evidence extraction</x:v>
      </x:c>
      <x:c r="P27" s="11" t="str"/>
    </x:row>
    <x:row r="28">
      <x:c r="A28" s="11" t="str">
        <x:v>CTX-G001</x:v>
      </x:c>
      <x:c r="B28" s="11" t="str">
        <x:v>cortex-engine</x:v>
      </x:c>
      <x:c r="C28" s="11" t="str">
        <x:v>Neuroca-Inc</x:v>
      </x:c>
      <x:c r="D28" s="14" t="str">
        <x:v>2026-07-12</x:v>
      </x:c>
      <x:c r="E28" s="11" t="str">
        <x:v>31f9f8d5ac204d07095fbbf27cbe9d3cfde2216e</x:v>
      </x:c>
      <x:c r="F28" s="11" t="str">
        <x:v>31f9f8d</x:v>
      </x:c>
      <x:c r="G28" s="11" t="str">
        <x:v>first commit</x:v>
      </x:c>
      <x:c r="H28" s="11" t="str">
        <x:v>BASELINE</x:v>
      </x:c>
      <x:c r="I28" s="11" t="str">
        <x:v>COMMIT-DETAIL-VERIFIED</x:v>
      </x:c>
      <x:c r="J28" s="11" t="str">
        <x:v>Public baseline for the Cortex implementation repository.</x:v>
      </x:c>
      <x:c r="K28" s="11" t="str">
        <x:v>PC-0014</x:v>
      </x:c>
      <x:c r="L28" s="11" t="str"/>
      <x:c r="M28" s="11" t="str">
        <x:v>https://github.com/Neuroca-Inc/cortex-engine/commit/31f9f8d5ac204d07095fbbf27cbe9d3cfde2216e</x:v>
      </x:c>
      <x:c r="N28" s="11" t="str">
        <x:v>turn130432view0</x:v>
      </x:c>
      <x:c r="O28" s="11" t="str">
        <x:v>repository baseline</x:v>
      </x:c>
      <x:c r="P28" s="11" t="str"/>
    </x:row>
    <x:row r="29">
      <x:c r="A29" s="11" t="str">
        <x:v>CTX-G002</x:v>
      </x:c>
      <x:c r="B29" s="11" t="str">
        <x:v>cortex-engine</x:v>
      </x:c>
      <x:c r="C29" s="11" t="str">
        <x:v>Neuroca-Inc</x:v>
      </x:c>
      <x:c r="D29" s="14" t="str">
        <x:v>2026-07-13</x:v>
      </x:c>
      <x:c r="E29" s="11" t="str">
        <x:v>bcc358ebebe9ed4731f9b6b3fd7599681c60853e</x:v>
      </x:c>
      <x:c r="F29" s="11" t="str">
        <x:v>bcc358e</x:v>
      </x:c>
      <x:c r="G29" s="11" t="str">
        <x:v>CP11</x:v>
      </x:c>
      <x:c r="H29" s="11" t="str">
        <x:v>IMPLEMENTATION</x:v>
      </x:c>
      <x:c r="I29" s="11" t="str">
        <x:v>COMMIT-DETAIL-VERIFIED</x:v>
      </x:c>
      <x:c r="J29" s="11" t="str">
        <x:v>Marks the CP11 implementation checkpoint in the compressed Cortex public history.</x:v>
      </x:c>
      <x:c r="K29" s="11" t="str">
        <x:v>PC-0014</x:v>
      </x:c>
      <x:c r="L29" s="11" t="str"/>
      <x:c r="M29" s="11" t="str">
        <x:v>https://github.com/Neuroca-Inc/cortex-engine/commit/bcc358ebebe9ed4731f9b6b3fd7599681c60853e</x:v>
      </x:c>
      <x:c r="N29" s="11" t="str">
        <x:v>turn130432view1</x:v>
      </x:c>
      <x:c r="O29" s="11" t="str">
        <x:v>implementation checkpoint</x:v>
      </x:c>
      <x:c r="P29" s="11" t="str"/>
    </x:row>
    <x:row r="30">
      <x:c r="A30" s="11" t="str">
        <x:v>CTX-G003</x:v>
      </x:c>
      <x:c r="B30" s="11" t="str">
        <x:v>cortex-engine</x:v>
      </x:c>
      <x:c r="C30" s="11" t="str">
        <x:v>Neuroca-Inc</x:v>
      </x:c>
      <x:c r="D30" s="14" t="str">
        <x:v>2026-07-13</x:v>
      </x:c>
      <x:c r="E30" s="11" t="str">
        <x:v>82e0856447fd39085f986d9c634a1c2a5712259d</x:v>
      </x:c>
      <x:c r="F30" s="11" t="str">
        <x:v>82e0856</x:v>
      </x:c>
      <x:c r="G30" s="11" t="str">
        <x:v>CP20</x:v>
      </x:c>
      <x:c r="H30" s="11" t="str">
        <x:v>IMPLEMENTATION</x:v>
      </x:c>
      <x:c r="I30" s="11" t="str">
        <x:v>COMMIT-DETAIL-VERIFIED</x:v>
      </x:c>
      <x:c r="J30" s="11" t="str">
        <x:v>Marks the CP20 implementation checkpoint, the substrate boundary referenced by the project chronology.</x:v>
      </x:c>
      <x:c r="K30" s="11" t="str">
        <x:v>PC-0014</x:v>
      </x:c>
      <x:c r="L30" s="11" t="str"/>
      <x:c r="M30" s="11" t="str">
        <x:v>https://github.com/Neuroca-Inc/cortex-engine/commit/82e0856447fd39085f986d9c634a1c2a5712259d</x:v>
      </x:c>
      <x:c r="N30" s="11" t="str">
        <x:v>turn130432view2</x:v>
      </x:c>
      <x:c r="O30" s="11" t="str">
        <x:v>implementation boundary</x:v>
      </x:c>
      <x:c r="P30" s="11" t="str"/>
    </x:row>
    <x:row r="31">
      <x:c r="A31" s="11" t="str">
        <x:v>CTX-G004</x:v>
      </x:c>
      <x:c r="B31" s="11" t="str">
        <x:v>cortex-engine</x:v>
      </x:c>
      <x:c r="C31" s="11" t="str">
        <x:v>Neuroca-Inc</x:v>
      </x:c>
      <x:c r="D31" s="14" t="str">
        <x:v>2026-07-13</x:v>
      </x:c>
      <x:c r="E31" s="11" t="str">
        <x:v>169dbe7e1b53c2aff6851efc59f862ded14558f2</x:v>
      </x:c>
      <x:c r="F31" s="11" t="str">
        <x:v>169dbe7</x:v>
      </x:c>
      <x:c r="G31" s="11" t="str">
        <x:v>CP20 Retrospective complete</x:v>
      </x:c>
      <x:c r="H31" s="11" t="str">
        <x:v>BOUNDARY/AUDIT</x:v>
      </x:c>
      <x:c r="I31" s="11" t="str">
        <x:v>COMMIT-DETAIL-VERIFIED</x:v>
      </x:c>
      <x:c r="J31" s="11" t="str">
        <x:v>Strong boundary provenance: the retrospective package includes decision-status material, an explicit rejected RST-scheduled Xi coupling ADR, an Xi integration blocker, evidence logs, and SHA manifests.</x:v>
      </x:c>
      <x:c r="K31" s="11" t="str">
        <x:v>PC-0015</x:v>
      </x:c>
      <x:c r="L31" s="11" t="str">
        <x:v>Explicit rejection artifact: ADR 0024 rejects RST-scheduled Xi coupling; Xi integration blocker is retained rather than silently bypassed.</x:v>
      </x:c>
      <x:c r="M31" s="11" t="str">
        <x:v>https://github.com/Neuroca-Inc/cortex-engine/commit/169dbe7e1b53c2aff6851efc59f862ded14558f2</x:v>
      </x:c>
      <x:c r="N31" s="11" t="str">
        <x:v>turn130432view3;turn779565view0</x:v>
      </x:c>
      <x:c r="O31" s="11" t="str">
        <x:v>explicit boundary + rejected model</x:v>
      </x:c>
      <x:c r="P31" s="11" t="str"/>
    </x:row>
    <x:row r="32">
      <x:c r="A32" s="11" t="str">
        <x:v>CTX-G005</x:v>
      </x:c>
      <x:c r="B32" s="11" t="str">
        <x:v>cortex-engine</x:v>
      </x:c>
      <x:c r="C32" s="11" t="str">
        <x:v>Neuroca-Inc</x:v>
      </x:c>
      <x:c r="D32" s="14" t="str">
        <x:v>2026-07-18</x:v>
      </x:c>
      <x:c r="E32" s="11" t="str">
        <x:v>0234de28c4ee346a34abad4379da0e35ea96531d</x:v>
      </x:c>
      <x:c r="F32" s="11" t="str">
        <x:v>0234de2</x:v>
      </x:c>
      <x:c r="G32" s="11" t="str">
        <x:v>began implementation of the orthad and lifted object</x:v>
      </x:c>
      <x:c r="H32" s="11" t="str">
        <x:v>IMPLEMENTATION</x:v>
      </x:c>
      <x:c r="I32" s="11" t="str">
        <x:v>COMMIT-DETAIL-VERIFIED</x:v>
      </x:c>
      <x:c r="J32" s="11" t="str">
        <x:v>Publicly timestamps the transition from the CP20 substrate into explicit Orthad and lifted-object implementation.</x:v>
      </x:c>
      <x:c r="K32" s="11" t="str">
        <x:v>PC-0014;PC-0017</x:v>
      </x:c>
      <x:c r="L32" s="11" t="str"/>
      <x:c r="M32" s="11" t="str">
        <x:v>https://github.com/Neuroca-Inc/cortex-engine/commit/0234de28c4ee346a34abad4379da0e35ea96531d</x:v>
      </x:c>
      <x:c r="N32" s="11" t="str">
        <x:v>turn130432view4</x:v>
      </x:c>
      <x:c r="O32" s="11" t="str">
        <x:v>Orthad / lifted-object implementation</x:v>
      </x:c>
      <x:c r="P32" s="11" t="str"/>
    </x:row>
    <x:row r="33">
      <x:c r="A33" s="11" t="str">
        <x:v>CTX-G006</x:v>
      </x:c>
      <x:c r="B33" s="11" t="str">
        <x:v>cortex-engine</x:v>
      </x:c>
      <x:c r="C33" s="11" t="str">
        <x:v>Neuroca-Inc</x:v>
      </x:c>
      <x:c r="D33" s="14" t="str">
        <x:v>2026-07-20</x:v>
      </x:c>
      <x:c r="E33" s="11" t="str"/>
      <x:c r="F33" s="11" t="str">
        <x:v>7ea9d91</x:v>
      </x:c>
      <x:c r="G33" s="11" t="str">
        <x:v>began emergent physics work</x:v>
      </x:c>
      <x:c r="H33" s="11" t="str">
        <x:v>APPLICATION</x:v>
      </x:c>
      <x:c r="I33" s="11" t="str">
        <x:v>HISTORY-VERIFIED</x:v>
      </x:c>
      <x:c r="J33" s="11" t="str">
        <x:v>Marks the beginning of the emergent-physics branch after the Orthad/lifted-object implementation transition.</x:v>
      </x:c>
      <x:c r="K33" s="11" t="str">
        <x:v>PC-0014</x:v>
      </x:c>
      <x:c r="L33" s="11" t="str"/>
      <x:c r="M33" s="11" t="str">
        <x:v>https://github.com/Neuroca-Inc/cortex-engine/commit/7ea9d91</x:v>
      </x:c>
      <x:c r="N33" s="11" t="str">
        <x:v>turn235083view1</x:v>
      </x:c>
      <x:c r="O33" s="11" t="str">
        <x:v>new downstream application</x:v>
      </x:c>
      <x:c r="P33" s="11" t="str">
        <x:v>Full commit page exceeded browser fetch limit during this pass; short SHA and history entry are verified.</x:v>
      </x:c>
    </x:row>
    <x:row r="34">
      <x:c r="A34" s="11" t="str">
        <x:v>CTX-G007</x:v>
      </x:c>
      <x:c r="B34" s="11" t="str">
        <x:v>cortex-engine</x:v>
      </x:c>
      <x:c r="C34" s="11" t="str">
        <x:v>Neuroca-Inc</x:v>
      </x:c>
      <x:c r="D34" s="14" t="str">
        <x:v>2026-07-20</x:v>
      </x:c>
      <x:c r="E34" s="11" t="str">
        <x:v>4a2029139f8cdf91d64c26b63c4a3b3136a6bde6</x:v>
      </x:c>
      <x:c r="F34" s="11" t="str">
        <x:v>4a20291</x:v>
      </x:c>
      <x:c r="G34" s="11" t="str">
        <x:v>running tests and checks for emergent physics in the cortex engine</x:v>
      </x:c>
      <x:c r="H34" s="11" t="str">
        <x:v>VERIFICATION</x:v>
      </x:c>
      <x:c r="I34" s="11" t="str">
        <x:v>COMMIT-DETAIL-VERIFIED</x:v>
      </x:c>
      <x:c r="J34" s="11" t="str">
        <x:v>Shows testing/checking immediately following the start of the emergent-physics branch.</x:v>
      </x:c>
      <x:c r="K34" s="11" t="str">
        <x:v>PC-0014</x:v>
      </x:c>
      <x:c r="L34" s="11" t="str"/>
      <x:c r="M34" s="11" t="str">
        <x:v>https://github.com/Neuroca-Inc/cortex-engine/commit/4a2029139f8cdf91d64c26b63c4a3b3136a6bde6</x:v>
      </x:c>
      <x:c r="N34" s="11" t="str">
        <x:v>turn130432view6</x:v>
      </x:c>
      <x:c r="O34" s="11" t="str">
        <x:v>downstream verification</x:v>
      </x:c>
      <x:c r="P34" s="11" t="str"/>
    </x:row>
    <x:row r="35">
      <x:c r="A35" s="11" t="str">
        <x:v>CTX-G008</x:v>
      </x:c>
      <x:c r="B35" s="11" t="str">
        <x:v>cortex-engine</x:v>
      </x:c>
      <x:c r="C35" s="11" t="str">
        <x:v>Neuroca-Inc</x:v>
      </x:c>
      <x:c r="D35" s="14" t="str">
        <x:v>2026-07-21</x:v>
      </x:c>
      <x:c r="E35" s="11" t="str"/>
      <x:c r="F35" s="11" t="str">
        <x:v>21c4670</x:v>
      </x:c>
      <x:c r="G35" s="11" t="str">
        <x:v>logged emergent hydrogen</x:v>
      </x:c>
      <x:c r="H35" s="11" t="str">
        <x:v>OBSERVATION</x:v>
      </x:c>
      <x:c r="I35" s="11" t="str">
        <x:v>HISTORY-VERIFIED</x:v>
      </x:c>
      <x:c r="J35" s="11" t="str">
        <x:v>Public history records an emergent-hydrogen observation as a downstream experimental milestone.</x:v>
      </x:c>
      <x:c r="K35" s="11" t="str">
        <x:v>PC-0014</x:v>
      </x:c>
      <x:c r="L35" s="11" t="str"/>
      <x:c r="M35" s="11" t="str">
        <x:v>https://github.com/Neuroca-Inc/cortex-engine/commit/21c4670</x:v>
      </x:c>
      <x:c r="N35" s="11" t="str">
        <x:v>turn235083view1</x:v>
      </x:c>
      <x:c r="O35" s="11" t="str">
        <x:v>experimental observation</x:v>
      </x:c>
      <x:c r="P35" s="11" t="str">
        <x:v>Short SHA/history entry verified; commit page exceeded browser fetch limit.</x:v>
      </x:c>
    </x:row>
    <x:row r="36">
      <x:c r="A36" s="11" t="str">
        <x:v>CTX-G009</x:v>
      </x:c>
      <x:c r="B36" s="11" t="str">
        <x:v>cortex-engine</x:v>
      </x:c>
      <x:c r="C36" s="11" t="str">
        <x:v>Neuroca-Inc</x:v>
      </x:c>
      <x:c r="D36" s="14" t="str">
        <x:v>2026-08-26</x:v>
      </x:c>
      <x:c r="E36" s="11" t="str"/>
      <x:c r="F36" s="11" t="str">
        <x:v>1bd9ad1</x:v>
      </x:c>
      <x:c r="G36" s="11" t="str">
        <x:v>added emergent dynamics observations and updated lifted object walkthrough, plus added a cortex retained baseline document</x:v>
      </x:c>
      <x:c r="H36" s="11" t="str">
        <x:v>CANON/BASELINE</x:v>
      </x:c>
      <x:c r="I36" s="11" t="str">
        <x:v>HISTORY-VERIFIED</x:v>
      </x:c>
      <x:c r="J36" s="11" t="str">
        <x:v>Joins emergent-dynamics observations, an updated Lifted Object walkthrough, and a retained Cortex baseline in one later custody milestone.</x:v>
      </x:c>
      <x:c r="K36" s="11" t="str">
        <x:v>PC-0017</x:v>
      </x:c>
      <x:c r="L36" s="11" t="str"/>
      <x:c r="M36" s="11" t="str">
        <x:v>https://github.com/Neuroca-Inc/cortex-engine/commit/1bd9ad1</x:v>
      </x:c>
      <x:c r="N36" s="11" t="str">
        <x:v>turn235083view1</x:v>
      </x:c>
      <x:c r="O36" s="11" t="str">
        <x:v>retained baseline + walkthrough update</x:v>
      </x:c>
      <x:c r="P36" s="11" t="str">
        <x:v>Short SHA/history entry verified; commit page exceeded browser fetch limit.</x:v>
      </x:c>
    </x:row>
    <x:row r="37">
      <x:c r="A37" s="11" t="str">
        <x:v>RT-G001</x:v>
      </x:c>
      <x:c r="B37" s="11" t="str">
        <x:v>vdm_rt</x:v>
      </x:c>
      <x:c r="C37" s="11" t="str">
        <x:v>Neuroca-Inc</x:v>
      </x:c>
      <x:c r="D37" s="14" t="str">
        <x:v>2026-06-22</x:v>
      </x:c>
      <x:c r="E37" s="11" t="str">
        <x:v>827f8261f94d298c08debd53959952af9d240393</x:v>
      </x:c>
      <x:c r="F37" s="11" t="str">
        <x:v>827f826</x:v>
      </x:c>
      <x:c r="G37" s="11" t="str">
        <x:v>Initial commit</x:v>
      </x:c>
      <x:c r="H37" s="11" t="str">
        <x:v>BASELINE</x:v>
      </x:c>
      <x:c r="I37" s="11" t="str">
        <x:v>COMMIT-DETAIL-VERIFIED</x:v>
      </x:c>
      <x:c r="J37" s="11" t="str">
        <x:v>Public baseline for the rebooted vdm_rt repository.</x:v>
      </x:c>
      <x:c r="K37" s="11" t="str"/>
      <x:c r="L37" s="11" t="str"/>
      <x:c r="M37" s="11" t="str">
        <x:v>https://github.com/Neuroca-Inc/vdm_rt/commit/827f8261f94d298c08debd53959952af9d240393</x:v>
      </x:c>
      <x:c r="N37" s="11" t="str">
        <x:v>turn183979view0</x:v>
      </x:c>
      <x:c r="O37" s="11" t="str">
        <x:v>repository baseline</x:v>
      </x:c>
      <x:c r="P37" s="11" t="str"/>
    </x:row>
    <x:row r="38">
      <x:c r="A38" s="11" t="str">
        <x:v>RT-G002</x:v>
      </x:c>
      <x:c r="B38" s="11" t="str">
        <x:v>vdm_rt</x:v>
      </x:c>
      <x:c r="C38" s="11" t="str">
        <x:v>Neuroca-Inc</x:v>
      </x:c>
      <x:c r="D38" s="14" t="str">
        <x:v>2026-06-22</x:v>
      </x:c>
      <x:c r="E38" s="11" t="str">
        <x:v>87c394c486107cca26563865eee9f99ede3bcfae</x:v>
      </x:c>
      <x:c r="F38" s="11" t="str">
        <x:v>87c394c</x:v>
      </x:c>
      <x:c r="G38" s="11" t="str">
        <x:v>Add comprehensive roadmap docs for runtime reboot</x:v>
      </x:c>
      <x:c r="H38" s="11" t="str">
        <x:v>ROADMAP</x:v>
      </x:c>
      <x:c r="I38" s="11" t="str">
        <x:v>COMMIT-DETAIL-VERIFIED</x:v>
      </x:c>
      <x:c r="J38" s="11" t="str">
        <x:v>Makes the runtime reboot plan explicit in repository history at inception.</x:v>
      </x:c>
      <x:c r="K38" s="11" t="str"/>
      <x:c r="L38" s="11" t="str"/>
      <x:c r="M38" s="11" t="str">
        <x:v>https://github.com/Neuroca-Inc/vdm_rt/commit/87c394c486107cca26563865eee9f99ede3bcfae</x:v>
      </x:c>
      <x:c r="N38" s="11" t="str">
        <x:v>turn183979view1</x:v>
      </x:c>
      <x:c r="O38" s="11" t="str">
        <x:v>explicit reboot roadmap</x:v>
      </x:c>
      <x:c r="P38" s="11" t="str"/>
    </x:row>
    <x:row r="39">
      <x:c r="A39" s="11" t="str">
        <x:v>RT-G003</x:v>
      </x:c>
      <x:c r="B39" s="11" t="str">
        <x:v>vdm_rt</x:v>
      </x:c>
      <x:c r="C39" s="11" t="str">
        <x:v>Neuroca-Inc</x:v>
      </x:c>
      <x:c r="D39" s="14" t="str">
        <x:v>2026-06-22</x:v>
      </x:c>
      <x:c r="E39" s="11" t="str">
        <x:v>2a6bddf72cdd33490d691331f523738c9e5dd872</x:v>
      </x:c>
      <x:c r="F39" s="11" t="str">
        <x:v>2a6bddf</x:v>
      </x:c>
      <x:c r="G39" s="11" t="str">
        <x:v>Remove dense/sparse mode flags and update docs</x:v>
      </x:c>
      <x:c r="H39" s="11" t="str">
        <x:v>CORRECTION/REJECTION</x:v>
      </x:c>
      <x:c r="I39" s="11" t="str">
        <x:v>COMMIT-DETAIL-VERIFIED</x:v>
      </x:c>
      <x:c r="J39" s="11" t="str">
        <x:v>Records removal of a runtime mode distinction during the reboot rather than preserving dead compatibility structure.</x:v>
      </x:c>
      <x:c r="K39" s="11" t="str"/>
      <x:c r="L39" s="11" t="str">
        <x:v>Dense/sparse mode flags removed.</x:v>
      </x:c>
      <x:c r="M39" s="11" t="str">
        <x:v>https://github.com/Neuroca-Inc/vdm_rt/commit/2a6bddf72cdd33490d691331f523738c9e5dd872</x:v>
      </x:c>
      <x:c r="N39" s="11" t="str">
        <x:v>turn183979view2</x:v>
      </x:c>
      <x:c r="O39" s="11" t="str">
        <x:v>architecture simplification / removal</x:v>
      </x:c>
      <x:c r="P39" s="11" t="str"/>
    </x:row>
    <x:row r="40">
      <x:c r="A40" s="11" t="str">
        <x:v>RT-G004</x:v>
      </x:c>
      <x:c r="B40" s="11" t="str">
        <x:v>vdm_rt</x:v>
      </x:c>
      <x:c r="C40" s="11" t="str">
        <x:v>Neuroca-Inc</x:v>
      </x:c>
      <x:c r="D40" s="14" t="str">
        <x:v>2026-06-22</x:v>
      </x:c>
      <x:c r="E40" s="11" t="str">
        <x:v>fff151080e2fc0a05726f14bb92713e97256d750</x:v>
      </x:c>
      <x:c r="F40" s="11" t="str">
        <x:v>fff1510</x:v>
      </x:c>
      <x:c r="G40" s="11" t="str">
        <x:v>Implement reboot cleanup policy / legacy substrate findings</x:v>
      </x:c>
      <x:c r="H40" s="11" t="str">
        <x:v>CORRECTION/REJECTION</x:v>
      </x:c>
      <x:c r="I40" s="11" t="str">
        <x:v>COMMIT-DETAIL-VERIFIED</x:v>
      </x:c>
      <x:c r="J40" s="11" t="str">
        <x:v>Makes cleanup policy and legacy-substrate findings explicit in the new runtime lineage.</x:v>
      </x:c>
      <x:c r="K40" s="11" t="str"/>
      <x:c r="L40" s="11" t="str">
        <x:v>Legacy substrate is treated as something to audit/clean rather than silently inherit.</x:v>
      </x:c>
      <x:c r="M40" s="11" t="str">
        <x:v>https://github.com/Neuroca-Inc/vdm_rt/commit/fff151080e2fc0a05726f14bb92713e97256d750</x:v>
      </x:c>
      <x:c r="N40" s="11" t="str">
        <x:v>turn183979view3</x:v>
      </x:c>
      <x:c r="O40" s="11" t="str">
        <x:v>legacy cleanup / authority reset</x:v>
      </x:c>
      <x:c r="P40" s="11" t="str"/>
    </x:row>
    <x:row r="41">
      <x:c r="A41" s="11" t="str">
        <x:v>RT-G005</x:v>
      </x:c>
      <x:c r="B41" s="11" t="str">
        <x:v>vdm_rt</x:v>
      </x:c>
      <x:c r="C41" s="11" t="str">
        <x:v>Neuroca-Inc</x:v>
      </x:c>
      <x:c r="D41" s="14" t="str">
        <x:v>2026-06-26</x:v>
      </x:c>
      <x:c r="E41" s="11" t="str">
        <x:v>165c5419eb23ad03df1325c7561e17555941e750</x:v>
      </x:c>
      <x:c r="F41" s="11" t="str">
        <x:v>165c541</x:v>
      </x:c>
      <x:c r="G41" s="11" t="str">
        <x:v>added regression test</x:v>
      </x:c>
      <x:c r="H41" s="11" t="str">
        <x:v>VERIFICATION</x:v>
      </x:c>
      <x:c r="I41" s="11" t="str">
        <x:v>COMMIT-DETAIL-VERIFIED</x:v>
      </x:c>
      <x:c r="J41" s="11" t="str">
        <x:v>Adds a regression gate before the next major cleanup/experimental sequence.</x:v>
      </x:c>
      <x:c r="K41" s="11" t="str"/>
      <x:c r="L41" s="11" t="str"/>
      <x:c r="M41" s="11" t="str">
        <x:v>https://github.com/Neuroca-Inc/vdm_rt/commit/165c5419eb23ad03df1325c7561e17555941e750</x:v>
      </x:c>
      <x:c r="N41" s="11" t="str">
        <x:v>turn183979view4</x:v>
      </x:c>
      <x:c r="O41" s="11" t="str">
        <x:v>regression verification</x:v>
      </x:c>
      <x:c r="P41" s="11" t="str"/>
    </x:row>
    <x:row r="42">
      <x:c r="A42" s="11" t="str">
        <x:v>RT-G006</x:v>
      </x:c>
      <x:c r="B42" s="11" t="str">
        <x:v>vdm_rt</x:v>
      </x:c>
      <x:c r="C42" s="11" t="str">
        <x:v>Neuroca-Inc</x:v>
      </x:c>
      <x:c r="D42" s="14" t="str">
        <x:v>2026-06-27</x:v>
      </x:c>
      <x:c r="E42" s="11" t="str">
        <x:v>0057fdcb670ca7a9611522983a18e5d293237914</x:v>
      </x:c>
      <x:c r="F42" s="11" t="str">
        <x:v>0057fdc</x:v>
      </x:c>
      <x:c r="G42" s="11" t="str">
        <x:v>continued cleanup, removal of broken UTD/UTE system</x:v>
      </x:c>
      <x:c r="H42" s="11" t="str">
        <x:v>CORRECTION/REJECTION</x:v>
      </x:c>
      <x:c r="I42" s="11" t="str">
        <x:v>COMMIT-DETAIL-VERIFIED</x:v>
      </x:c>
      <x:c r="J42" s="11" t="str">
        <x:v>High-value negative provenance: the history explicitly calls the UTD/UTE system broken and records its removal.</x:v>
      </x:c>
      <x:c r="K42" s="11" t="str"/>
      <x:c r="L42" s="11" t="str">
        <x:v>Broken UTD/UTE system removed.</x:v>
      </x:c>
      <x:c r="M42" s="11" t="str">
        <x:v>https://github.com/Neuroca-Inc/vdm_rt/commit/0057fdcb670ca7a9611522983a18e5d293237914</x:v>
      </x:c>
      <x:c r="N42" s="11" t="str">
        <x:v>turn183979view5</x:v>
      </x:c>
      <x:c r="O42" s="11" t="str">
        <x:v>explicit rejected subsystem</x:v>
      </x:c>
      <x:c r="P42" s="11" t="str"/>
    </x:row>
    <x:row r="43">
      <x:c r="A43" s="11" t="str">
        <x:v>RT-G007</x:v>
      </x:c>
      <x:c r="B43" s="11" t="str">
        <x:v>vdm_rt</x:v>
      </x:c>
      <x:c r="C43" s="11" t="str">
        <x:v>Neuroca-Inc</x:v>
      </x:c>
      <x:c r="D43" s="14" t="str">
        <x:v>2026-06-27</x:v>
      </x:c>
      <x:c r="E43" s="11" t="str">
        <x:v>a77092e45bbb0f85ff496a68d15f615880a7c83f</x:v>
      </x:c>
      <x:c r="F43" s="11" t="str">
        <x:v>a77092e</x:v>
      </x:c>
      <x:c r="G43" s="11" t="str">
        <x:v>added experiment testing outcomes</x:v>
      </x:c>
      <x:c r="H43" s="11" t="str">
        <x:v>EXPERIMENT</x:v>
      </x:c>
      <x:c r="I43" s="11" t="str">
        <x:v>COMMIT-DETAIL-VERIFIED</x:v>
      </x:c>
      <x:c r="J43" s="11" t="str">
        <x:v>Preserves experiment outcomes immediately after the cleanup step.</x:v>
      </x:c>
      <x:c r="K43" s="11" t="str"/>
      <x:c r="L43" s="11" t="str"/>
      <x:c r="M43" s="11" t="str">
        <x:v>https://github.com/Neuroca-Inc/vdm_rt/commit/a77092e45bbb0f85ff496a68d15f615880a7c83f</x:v>
      </x:c>
      <x:c r="N43" s="11" t="str">
        <x:v>turn183979view6</x:v>
      </x:c>
      <x:c r="O43" s="11" t="str">
        <x:v>experimental outcomes</x:v>
      </x:c>
      <x:c r="P43" s="11" t="str"/>
    </x:row>
    <x:row r="44">
      <x:c r="A44" s="11" t="str">
        <x:v>RT-G008</x:v>
      </x:c>
      <x:c r="B44" s="11" t="str">
        <x:v>vdm_rt</x:v>
      </x:c>
      <x:c r="C44" s="11" t="str">
        <x:v>Neuroca-Inc</x:v>
      </x:c>
      <x:c r="D44" s="14" t="str">
        <x:v>2026-06-27</x:v>
      </x:c>
      <x:c r="E44" s="11" t="str">
        <x:v>f60ef5cff839c9db32a626663f91f97f5a8dfbf4</x:v>
      </x:c>
      <x:c r="F44" s="11" t="str">
        <x:v>f60ef5c</x:v>
      </x:c>
      <x:c r="G44" s="11" t="str">
        <x:v>recreated 02 experiment. Decompressed check passed:</x:v>
      </x:c>
      <x:c r="H44" s="11" t="str">
        <x:v>VERIFICATION</x:v>
      </x:c>
      <x:c r="I44" s="11" t="str">
        <x:v>COMMIT-DETAIL-VERIFIED</x:v>
      </x:c>
      <x:c r="J44" s="11" t="str">
        <x:v>Records recreation of the 02 experiment and an explicit decompressed-check pass.</x:v>
      </x:c>
      <x:c r="K44" s="11" t="str"/>
      <x:c r="L44" s="11" t="str"/>
      <x:c r="M44" s="11" t="str">
        <x:v>https://github.com/Neuroca-Inc/vdm_rt/commit/f60ef5cff839c9db32a626663f91f97f5a8dfbf4</x:v>
      </x:c>
      <x:c r="N44" s="11" t="str">
        <x:v>turn183979view7</x:v>
      </x:c>
      <x:c r="O44" s="11" t="str">
        <x:v>reproduction + pass gate</x:v>
      </x:c>
      <x:c r="P44" s="11" t="str"/>
    </x:row>
    <x:row r="45">
      <x:c r="A45" s="11" t="str">
        <x:v>RT-G009</x:v>
      </x:c>
      <x:c r="B45" s="11" t="str">
        <x:v>vdm_rt</x:v>
      </x:c>
      <x:c r="C45" s="11" t="str">
        <x:v>Neuroca-Inc</x:v>
      </x:c>
      <x:c r="D45" s="14" t="str">
        <x:v>2026-06-27</x:v>
      </x:c>
      <x:c r="E45" s="11" t="str">
        <x:v>aa2434069b7bd8f50a6c191de6bf02f473f8e56e</x:v>
      </x:c>
      <x:c r="F45" s="11" t="str">
        <x:v>aa24340</x:v>
      </x:c>
      <x:c r="G45" s="11" t="str">
        <x:v>Replaced the separate UTE/UTD log surfaces with a shared compressed sensorimotor boundary log</x:v>
      </x:c>
      <x:c r="H45" s="11" t="str">
        <x:v>ARCHITECTURE</x:v>
      </x:c>
      <x:c r="I45" s="11" t="str">
        <x:v>COMMIT-DETAIL-VERIFIED</x:v>
      </x:c>
      <x:c r="J45" s="11" t="str">
        <x:v>After rejecting the broken UTD/UTE system, the runtime replaces separate surfaces with a shared compressed sensorimotor boundary.</x:v>
      </x:c>
      <x:c r="K45" s="11" t="str"/>
      <x:c r="L45" s="11" t="str">
        <x:v>Supersedes separate UTE/UTD log surfaces.</x:v>
      </x:c>
      <x:c r="M45" s="11" t="str">
        <x:v>https://github.com/Neuroca-Inc/vdm_rt/commit/aa2434069b7bd8f50a6c191de6bf02f473f8e56e</x:v>
      </x:c>
      <x:c r="N45" s="11" t="str">
        <x:v>turn183979view8</x:v>
      </x:c>
      <x:c r="O45" s="11" t="str">
        <x:v>replacement architecture</x:v>
      </x:c>
      <x:c r="P45" s="11" t="str"/>
    </x:row>
    <x:row r="46">
      <x:c r="A46" s="11" t="str">
        <x:v>RT-G010</x:v>
      </x:c>
      <x:c r="B46" s="11" t="str">
        <x:v>vdm_rt</x:v>
      </x:c>
      <x:c r="C46" s="11" t="str">
        <x:v>Neuroca-Inc</x:v>
      </x:c>
      <x:c r="D46" s="14" t="str">
        <x:v>2026-06-27</x:v>
      </x:c>
      <x:c r="E46" s="11" t="str">
        <x:v>c023f5b2aa3c3786f40b1d27da48d0e8db2d71d8</x:v>
      </x:c>
      <x:c r="F46" s="11" t="str">
        <x:v>c023f5b</x:v>
      </x:c>
      <x:c r="G46" s="11" t="str">
        <x:v>wired the live runtime path to the motor trace boundary without restoring text decoding</x:v>
      </x:c>
      <x:c r="H46" s="11" t="str">
        <x:v>IMPLEMENTATION</x:v>
      </x:c>
      <x:c r="I46" s="11" t="str">
        <x:v>COMMIT-DETAIL-VERIFIED</x:v>
      </x:c>
      <x:c r="J46" s="11" t="str">
        <x:v>Closes the correction chain by wiring the live path to the new boundary while explicitly not restoring the discarded text-decoding route.</x:v>
      </x:c>
      <x:c r="K46" s="11" t="str"/>
      <x:c r="L46" s="11" t="str">
        <x:v>Text decoding remains intentionally absent.</x:v>
      </x:c>
      <x:c r="M46" s="11" t="str">
        <x:v>https://github.com/Neuroca-Inc/vdm_rt/commit/c023f5b2aa3c3786f40b1d27da48d0e8db2d71d8</x:v>
      </x:c>
      <x:c r="N46" s="11" t="str">
        <x:v>turn183979view9</x:v>
      </x:c>
      <x:c r="O46" s="11" t="str">
        <x:v>live-path integration after correction</x:v>
      </x:c>
      <x:c r="P46" s="11" t="str"/>
    </x:row>
  </x:sheetData>
  <x:conditionalFormatting sqref="H2:H46">
    <x:cfRule type="expression" dxfId="3" priority="1">
      <x:formula>OR(ISNUMBER(SEARCH("CORRECTION",H2)),ISNUMBER(SEARCH("REJECTION",H2)),H2="BOUNDARY/AUDIT")</x:formula>
    </x:cfRule>
  </x:conditionalFormatting>
  <x:conditionalFormatting sqref="I2:I46">
    <x:cfRule type="expression" dxfId="4" priority="2">
      <x:formula>I2="COMMIT-DETAIL-VERIFIED"</x:formula>
    </x:cfRule>
    <x:cfRule type="expression" dxfId="5" priority="3">
      <x:formula>I2="HISTORY-VERIFIED"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73ddbc227945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4" hidden="0" customWidth="1"/>
    <x:col min="4" max="4" width="80" hidden="0" customWidth="1"/>
  </x:cols>
  <x:sheetData>
    <x:row r="1">
      <x:c r="A1" s="26" t="str">
        <x:v>Git_ID</x:v>
      </x:c>
      <x:c r="B1" s="26" t="str">
        <x:v>Existing_Entry_ID</x:v>
      </x:c>
      <x:c r="C1" s="26" t="str">
        <x:v>Relationship</x:v>
      </x:c>
      <x:c r="D1" s="26" t="str">
        <x:v>Rationale</x:v>
      </x:c>
    </x:row>
    <x:row r="2">
      <x:c r="A2" s="11" t="str">
        <x:v>VDM-G003</x:v>
      </x:c>
      <x:c r="B2" s="11" t="str">
        <x:v>PC-0016</x:v>
      </x:c>
      <x:c r="C2" s="11" t="str">
        <x:v>PUBLIC_GIT_PRECURSOR</x:v>
      </x:c>
      <x:c r="D2" s="11" t="str">
        <x:v>November 2025 Git commit publicly timestamps the CF10 lattice-hydrodynamics program before the later Phase Calculus regularity closure.</x:v>
      </x:c>
    </x:row>
    <x:row r="3">
      <x:c r="A3" s="11" t="str">
        <x:v>VDM-G006</x:v>
      </x:c>
      <x:c r="B3" s="11" t="str">
        <x:v>PC-0001</x:v>
      </x:c>
      <x:c r="C3" s="11" t="str">
        <x:v>FOUNDATIONAL_LINEAGE</x:v>
      </x:c>
      <x:c r="D3" s="11" t="str">
        <x:v>H000 immediately precedes and feeds the CF000 foundational line.</x:v>
      </x:c>
    </x:row>
    <x:row r="4">
      <x:c r="A4" s="11" t="str">
        <x:v>VDM-G007</x:v>
      </x:c>
      <x:c r="B4" s="11" t="str">
        <x:v>PC-0001</x:v>
      </x:c>
      <x:c r="C4" s="11" t="str">
        <x:v>DIRECT_GIT_EVIDENCE</x:v>
      </x:c>
      <x:c r="D4" s="11" t="str">
        <x:v>CF000 primitive-distinguishability artifact is directly timestamped in Git.</x:v>
      </x:c>
    </x:row>
    <x:row r="5">
      <x:c r="A5" s="11" t="str">
        <x:v>VDM-G008</x:v>
      </x:c>
      <x:c r="B5" s="11" t="str">
        <x:v>PC-0001</x:v>
      </x:c>
      <x:c r="C5" s="11" t="str">
        <x:v>CANON_CUSTODY</x:v>
      </x:c>
      <x:c r="D5" s="11" t="str">
        <x:v>Canon-ledger work provides claim-status/custody infrastructure around the foundational period.</x:v>
      </x:c>
    </x:row>
    <x:row r="6">
      <x:c r="A6" s="11" t="str">
        <x:v>VDM-G009</x:v>
      </x:c>
      <x:c r="B6" s="11" t="str">
        <x:v>PC-0001</x:v>
      </x:c>
      <x:c r="C6" s="11" t="str">
        <x:v>FOUNDATIONAL_LINEAGE</x:v>
      </x:c>
      <x:c r="D6" s="11" t="str">
        <x:v>A_minus_one primitive-kernel artifact sits directly upstream of the March 24 Farey development.</x:v>
      </x:c>
    </x:row>
    <x:row r="7">
      <x:c r="A7" s="11" t="str">
        <x:v>PBL-G001</x:v>
      </x:c>
      <x:c r="B7" s="11" t="str">
        <x:v>PC-0001</x:v>
      </x:c>
      <x:c r="C7" s="11" t="str">
        <x:v>EXPERIMENTAL_DISCRIMINATOR</x:v>
      </x:c>
      <x:c r="D7" s="11" t="str">
        <x:v>Corrected executable successor-mutation test probes primitive class admission while preserving the failed prior interpretation.</x:v>
      </x:c>
    </x:row>
    <x:row r="8">
      <x:c r="A8" s="11" t="str">
        <x:v>PBL-G002</x:v>
      </x:c>
      <x:c r="B8" s="11" t="str">
        <x:v>PC-0001</x:v>
      </x:c>
      <x:c r="C8" s="11" t="str">
        <x:v>NEGATIVE_PROVENANCE</x:v>
      </x:c>
      <x:c r="D8" s="11" t="str">
        <x:v>Removal of a prior programmable-reference artifact is preserved as a distinct historical event.</x:v>
      </x:c>
    </x:row>
    <x:row r="9">
      <x:c r="A9" s="11" t="str">
        <x:v>TAO-G001</x:v>
      </x:c>
      <x:c r="B9" s="11" t="str">
        <x:v>PC-0013</x:v>
      </x:c>
      <x:c r="C9" s="11" t="str">
        <x:v>DERIVATION_PHASE</x:v>
      </x:c>
      <x:c r="D9" s="11" t="str">
        <x:v>Phase 5 v8 begins the intensive QBL/Orthad derivation branch.</x:v>
      </x:c>
    </x:row>
    <x:row r="10">
      <x:c r="A10" s="11" t="str">
        <x:v>TAO-G002</x:v>
      </x:c>
      <x:c r="B10" s="11" t="str">
        <x:v>PC-0013</x:v>
      </x:c>
      <x:c r="C10" s="11" t="str">
        <x:v>CANON_CUSTODY</x:v>
      </x:c>
      <x:c r="D10" s="11" t="str">
        <x:v>Phase 5 canonical ledger formalizes status/custody.</x:v>
      </x:c>
    </x:row>
    <x:row r="11">
      <x:c r="A11" s="11" t="str">
        <x:v>TAO-G003</x:v>
      </x:c>
      <x:c r="B11" s="11" t="str">
        <x:v>PC-0012</x:v>
      </x:c>
      <x:c r="C11" s="11" t="str">
        <x:v>ORTHAD_DEVELOPMENT</x:v>
      </x:c>
      <x:c r="D11" s="11" t="str">
        <x:v>Orthad-generated structure enters Phase 5.</x:v>
      </x:c>
    </x:row>
    <x:row r="12">
      <x:c r="A12" s="11" t="str">
        <x:v>TAO-G004</x:v>
      </x:c>
      <x:c r="B12" s="11" t="str">
        <x:v>PC-0013</x:v>
      </x:c>
      <x:c r="C12" s="11" t="str">
        <x:v>VERIFICATION_LAYER</x:v>
      </x:c>
      <x:c r="D12" s="11" t="str">
        <x:v>Verification script + sealed JSON evidence.</x:v>
      </x:c>
    </x:row>
    <x:row r="13">
      <x:c r="A13" s="11" t="str">
        <x:v>TAO-G005</x:v>
      </x:c>
      <x:c r="B13" s="11" t="str">
        <x:v>PC-0013</x:v>
      </x:c>
      <x:c r="C13" s="11" t="str">
        <x:v>AUDIT_LAYER</x:v>
      </x:c>
      <x:c r="D13" s="11" t="str">
        <x:v>External audit and radical-purity diagnosis.</x:v>
      </x:c>
    </x:row>
    <x:row r="14">
      <x:c r="A14" s="11" t="str">
        <x:v>TAO-G007</x:v>
      </x:c>
      <x:c r="B14" s="11" t="str">
        <x:v>PC-0018</x:v>
      </x:c>
      <x:c r="C14" s="11" t="str">
        <x:v>DERIVATION_EVIDENCE</x:v>
      </x:c>
      <x:c r="D14" s="11" t="str">
        <x:v>Recurrent-grammar commit contains QBL carry-J derivation and associated formal/audit evidence.</x:v>
      </x:c>
    </x:row>
    <x:row r="15">
      <x:c r="A15" s="11" t="str">
        <x:v>TAO-G008</x:v>
      </x:c>
      <x:c r="B15" s="11" t="str">
        <x:v>PC-0018</x:v>
      </x:c>
      <x:c r="C15" s="11" t="str">
        <x:v>THRESHOLD_DERIVATION</x:v>
      </x:c>
      <x:c r="D15" s="11" t="str">
        <x:v>Threshold derivation made executable and package-verified.</x:v>
      </x:c>
    </x:row>
    <x:row r="16">
      <x:c r="A16" s="11" t="str">
        <x:v>TAO-G009</x:v>
      </x:c>
      <x:c r="B16" s="11" t="str">
        <x:v>PC-0018</x:v>
      </x:c>
      <x:c r="C16" s="11" t="str">
        <x:v>PROOF_TRACE</x:v>
      </x:c>
      <x:c r="D16" s="11" t="str">
        <x:v>Factor and induction proof traces preserve intermediate derivation provenance.</x:v>
      </x:c>
    </x:row>
    <x:row r="17">
      <x:c r="A17" s="11" t="str">
        <x:v>TAO-G010</x:v>
      </x:c>
      <x:c r="B17" s="11" t="str">
        <x:v>PC-0013</x:v>
      </x:c>
      <x:c r="C17" s="11" t="str">
        <x:v>ORTHAD_RECURRENCE</x:v>
      </x:c>
      <x:c r="D17" s="11" t="str">
        <x:v>Publicly timestamps the Orthad pairing work before later closure.</x:v>
      </x:c>
    </x:row>
    <x:row r="18">
      <x:c r="A18" s="11" t="str">
        <x:v>TAO-G011</x:v>
      </x:c>
      <x:c r="B18" s="11" t="str">
        <x:v>PC-0013</x:v>
      </x:c>
      <x:c r="C18" s="11" t="str">
        <x:v>CANON_CONSOLIDATION</x:v>
      </x:c>
      <x:c r="D18" s="11" t="str">
        <x:v>Canon documents and extracted findings consolidate the Phase 5 custody state.</x:v>
      </x:c>
    </x:row>
    <x:row r="19">
      <x:c r="A19" s="11" t="str">
        <x:v>CTX-G001</x:v>
      </x:c>
      <x:c r="B19" s="11" t="str">
        <x:v>PC-0014</x:v>
      </x:c>
      <x:c r="C19" s="11" t="str">
        <x:v>IMPLEMENTATION_BASELINE</x:v>
      </x:c>
      <x:c r="D19" s="11" t="str">
        <x:v>Cortex repository baseline for the implementation branch.</x:v>
      </x:c>
    </x:row>
    <x:row r="20">
      <x:c r="A20" s="11" t="str">
        <x:v>CTX-G003</x:v>
      </x:c>
      <x:c r="B20" s="11" t="str">
        <x:v>PC-0014</x:v>
      </x:c>
      <x:c r="C20" s="11" t="str">
        <x:v>IMPLEMENTATION_CHECKPOINT</x:v>
      </x:c>
      <x:c r="D20" s="11" t="str">
        <x:v>CP20 is the implementation substrate checkpoint.</x:v>
      </x:c>
    </x:row>
    <x:row r="21">
      <x:c r="A21" s="11" t="str">
        <x:v>CTX-G004</x:v>
      </x:c>
      <x:c r="B21" s="11" t="str">
        <x:v>PC-0015</x:v>
      </x:c>
      <x:c r="C21" s="11" t="str">
        <x:v>EXPLICIT_BOUNDARY</x:v>
      </x:c>
      <x:c r="D21" s="11" t="str">
        <x:v>CP20 retrospective preserves rejected coupling and Xi integration blocker.</x:v>
      </x:c>
    </x:row>
    <x:row r="22">
      <x:c r="A22" s="11" t="str">
        <x:v>CTX-G005</x:v>
      </x:c>
      <x:c r="B22" s="11" t="str">
        <x:v>PC-0017</x:v>
      </x:c>
      <x:c r="C22" s="11" t="str">
        <x:v>IMPLEMENTATION_TRANSITION</x:v>
      </x:c>
      <x:c r="D22" s="11" t="str">
        <x:v>Orthad and Lifted Object implementation begins after CP20.</x:v>
      </x:c>
    </x:row>
    <x:row r="23">
      <x:c r="A23" s="11" t="str">
        <x:v>CTX-G009</x:v>
      </x:c>
      <x:c r="B23" s="11" t="str">
        <x:v>PC-0017</x:v>
      </x:c>
      <x:c r="C23" s="11" t="str">
        <x:v>RETAINED_BASELINE</x:v>
      </x:c>
      <x:c r="D23" s="11" t="str">
        <x:v>Later commit updates the walkthrough and adds a retained Cortex baseline.</x:v>
      </x:c>
    </x:row>
    <x:row r="24">
      <x:c r="A24" s="11" t="str">
        <x:v>TAO-G001</x:v>
      </x:c>
      <x:c r="B24" s="11" t="str">
        <x:v>PC-0019</x:v>
      </x:c>
      <x:c r="C24" s="11" t="str">
        <x:v>METHODOLOGY_CONTEXT</x:v>
      </x:c>
      <x:c r="D24" s="11" t="str">
        <x:v>Phase 5 v8 sits inside the Taoism / Active-Study period in which ORCHESTRA was built and provenance methodology began to formalize; this is contextual, not an assertion that TAO-G001 is the first ORCHESTRA commit.</x:v>
      </x:c>
    </x:row>
    <x:row r="25">
      <x:c r="A25" s="11" t="str">
        <x:v>TAO-G002</x:v>
      </x:c>
      <x:c r="B25" s="11" t="str">
        <x:v>PC-0019</x:v>
      </x:c>
      <x:c r="C25" s="11" t="str">
        <x:v>METHODOLOGY_CONTEXT</x:v>
      </x:c>
      <x:c r="D25" s="11" t="str">
        <x:v>The Phase 5 canonical-ledger milestone is part of the same Active-Study environment that shaped the formal provenance methodology; exact ORCHESTRA artifact ancestry remains a separate mapping task.</x:v>
      </x:c>
    </x:row>
    <x:row r="26">
      <x:c r="A26" s="11" t="str">
        <x:v>TAO-G011</x:v>
      </x:c>
      <x:c r="B26" s="11" t="str">
        <x:v>PC-0019</x:v>
      </x:c>
      <x:c r="C26" s="11" t="str">
        <x:v>METHODOLOGY_CONTEXT</x:v>
      </x:c>
      <x:c r="D26" s="11" t="str">
        <x:v>Canon consolidation and evidence extraction are methodologically adjacent to ORCHESTRA's provenance formalization, but are not relabeled as ORCHESTRA commits without direct artifact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8ef7aebb07b644e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6" hidden="0" customWidth="1"/>
    <x:col min="3" max="3" width="24" hidden="0" customWidth="1"/>
    <x:col min="4" max="4" width="20" hidden="0" customWidth="1"/>
    <x:col min="5" max="5" width="16" hidden="0" customWidth="1"/>
    <x:col min="6" max="6" width="16" hidden="0" customWidth="1"/>
    <x:col min="7" max="7" width="18" hidden="0" customWidth="1"/>
    <x:col min="8" max="8" width="46" hidden="0" customWidth="1"/>
    <x:col min="9" max="9" width="70" hidden="0" customWidth="1"/>
    <x:col min="10" max="10" width="30" hidden="0" customWidth="1"/>
  </x:cols>
  <x:sheetData>
    <x:row r="1">
      <x:c r="A1" s="26" t="str">
        <x:v>Repo</x:v>
      </x:c>
      <x:c r="B1" s="26" t="str">
        <x:v>URL</x:v>
      </x:c>
      <x:c r="C1" s="26" t="str">
        <x:v>History_Status</x:v>
      </x:c>
      <x:c r="D1" s="26" t="str">
        <x:v>Visible_Commit_Count</x:v>
      </x:c>
      <x:c r="E1" s="26" t="str">
        <x:v>Earliest_Selected</x:v>
      </x:c>
      <x:c r="F1" s="26" t="str">
        <x:v>Latest_Selected</x:v>
      </x:c>
      <x:c r="G1" s="26" t="str">
        <x:v>Milestones_Selected</x:v>
      </x:c>
      <x:c r="H1" s="26" t="str">
        <x:v>Provenance_Role</x:v>
      </x:c>
      <x:c r="I1" s="26" t="str">
        <x:v>Coverage_Notes</x:v>
      </x:c>
      <x:c r="J1" s="26" t="str">
        <x:v>Source</x:v>
      </x:c>
    </x:row>
    <x:row r="2">
      <x:c r="A2" s="11" t="str">
        <x:v>VDM</x:v>
      </x:c>
      <x:c r="B2" s="11" t="str">
        <x:v>https://github.com/Neuroca-Inc/VDM</x:v>
      </x:c>
      <x:c r="C2" s="11" t="str">
        <x:v>VERIFIED_PUBLIC_HISTORY</x:v>
      </x:c>
      <x:c r="D2" s="11" t="n">
        <x:v>1245</x:v>
      </x:c>
      <x:c r="E2" s="11" t="str">
        <x:v>2025-08-10</x:v>
      </x:c>
      <x:c r="F2" s="11" t="str">
        <x:v>2026-04-24</x:v>
      </x:c>
      <x:c r="G2" s="11" t="n">
        <x:v>12</x:v>
      </x:c>
      <x:c r="H2" s="11" t="str">
        <x:v>Long-form VDM / CF / runtime / provenance ancestry</x:v>
      </x:c>
      <x:c r="I2" s="11" t="str">
        <x:v>Selected structural milestones only; the public repo has a very deep history.</x:v>
      </x:c>
      <x:c r="J2" s="11" t="str">
        <x:v>turn789377search0</x:v>
      </x:c>
    </x:row>
    <x:row r="3">
      <x:c r="A3" s="11" t="str">
        <x:v>primitive_bifurcation_law_VDM</x:v>
      </x:c>
      <x:c r="B3" s="11" t="str">
        <x:v>https://github.com/justinlietz93/primitive_bifurcation_law_VDM</x:v>
      </x:c>
      <x:c r="C3" s="11" t="str">
        <x:v>VERIFIED_PUBLIC_HISTORY</x:v>
      </x:c>
      <x:c r="D3" s="11" t="str"/>
      <x:c r="E3" s="11" t="str">
        <x:v>2026-03-23</x:v>
      </x:c>
      <x:c r="F3" s="11" t="str">
        <x:v>2026-03-23</x:v>
      </x:c>
      <x:c r="G3" s="11" t="n">
        <x:v>3</x:v>
      </x:c>
      <x:c r="H3" s="11" t="str">
        <x:v>Primitive-origin experiments and corrections</x:v>
      </x:c>
      <x:c r="I3" s="11" t="str">
        <x:v>Selection emphasizes the explicit correction, deletion, and structured mathematical-reference update; not exhaustive.</x:v>
      </x:c>
      <x:c r="J3" s="11" t="str">
        <x:v>turn235083view0</x:v>
      </x:c>
    </x:row>
    <x:row r="4">
      <x:c r="A4" s="11" t="str">
        <x:v>Taoism-Mathematics-Research-Project-Internal</x:v>
      </x:c>
      <x:c r="B4" s="11" t="str">
        <x:v>https://github.com/justinlietz93/Taoism-Mathematics-Research-Project-Internal</x:v>
      </x:c>
      <x:c r="C4" s="11" t="str">
        <x:v>VERIFIED_PUBLIC_HISTORY</x:v>
      </x:c>
      <x:c r="D4" s="11" t="str"/>
      <x:c r="E4" s="11" t="str">
        <x:v>2026-06-26</x:v>
      </x:c>
      <x:c r="F4" s="11" t="str">
        <x:v>2026-07-12</x:v>
      </x:c>
      <x:c r="G4" s="11" t="n">
        <x:v>11</x:v>
      </x:c>
      <x:c r="H4" s="11" t="str">
        <x:v>Phase 5 / QBL / Orthad derivation, audit, proof-trace, canon custody, and ORCHESTRA methodology genesis</x:v>
      </x:c>
      <x:c r="I4" s="11" t="str">
        <x:v>Dense research history. In addition to the Phase 5 mathematical work, this Active-Study period is the user-attested point where ORCHESTRA was built and began formalization as a provenance-tracking research methodology. Exact ORCHESTRA commit mapping remains to be attached.</x:v>
      </x:c>
      <x:c r="J4" s="11" t="str">
        <x:v>turn226009view2;turn235083view3</x:v>
      </x:c>
    </x:row>
    <x:row r="5">
      <x:c r="A5" s="11" t="str">
        <x:v>phaseos</x:v>
      </x:c>
      <x:c r="B5" s="11" t="str">
        <x:v>https://github.com/justinlietz93/phaseos</x:v>
      </x:c>
      <x:c r="C5" s="11" t="str">
        <x:v>SUPPLIED_URL_404</x:v>
      </x:c>
      <x:c r="D5" s="11" t="str"/>
      <x:c r="E5" s="11" t="str"/>
      <x:c r="F5" s="11" t="str"/>
      <x:c r="G5" s="11" t="n">
        <x:v>0</x:v>
      </x:c>
      <x:c r="H5" s="11" t="str">
        <x:v>PhaseOS provenance not asserted in this pass</x:v>
      </x:c>
      <x:c r="I5" s="11" t="str">
        <x:v>The exact supplied GitHub repository and commits endpoint returned 404. No commit claims were inferred from unrelated public PhaseOS references.</x:v>
      </x:c>
      <x:c r="J5" s="11" t="str">
        <x:v>turn283875view0;turn283875view1</x:v>
      </x:c>
    </x:row>
    <x:row r="6">
      <x:c r="A6" s="11" t="str">
        <x:v>cortex-engine</x:v>
      </x:c>
      <x:c r="B6" s="11" t="str">
        <x:v>https://github.com/Neuroca-Inc/cortex-engine</x:v>
      </x:c>
      <x:c r="C6" s="11" t="str">
        <x:v>VERIFIED_PUBLIC_HISTORY</x:v>
      </x:c>
      <x:c r="D6" s="11" t="str"/>
      <x:c r="E6" s="11" t="str">
        <x:v>2026-07-12</x:v>
      </x:c>
      <x:c r="F6" s="11" t="str">
        <x:v>2026-08-26</x:v>
      </x:c>
      <x:c r="G6" s="11" t="n">
        <x:v>9</x:v>
      </x:c>
      <x:c r="H6" s="11" t="str">
        <x:v>CP implementation, explicit boundary/rejection, Orthad integration, emergent-physics branch</x:v>
      </x:c>
      <x:c r="I6" s="11" t="str">
        <x:v>Three large commit pages could not be fetched in detail; their dates/messages/short SHAs are verified from GitHub history.</x:v>
      </x:c>
      <x:c r="J6" s="11" t="str">
        <x:v>turn235083view1</x:v>
      </x:c>
    </x:row>
    <x:row r="7">
      <x:c r="A7" s="11" t="str">
        <x:v>vdm_rt</x:v>
      </x:c>
      <x:c r="B7" s="11" t="str">
        <x:v>https://github.com/Neuroca-Inc/vdm_rt</x:v>
      </x:c>
      <x:c r="C7" s="11" t="str">
        <x:v>VERIFIED_PUBLIC_HISTORY</x:v>
      </x:c>
      <x:c r="D7" s="11" t="str"/>
      <x:c r="E7" s="11" t="str">
        <x:v>2026-06-22</x:v>
      </x:c>
      <x:c r="F7" s="11" t="str">
        <x:v>2026-06-27</x:v>
      </x:c>
      <x:c r="G7" s="11" t="n">
        <x:v>10</x:v>
      </x:c>
      <x:c r="H7" s="11" t="str">
        <x:v>Runtime reboot, cleanup, rejected subsystem, experimental replacement architecture</x:v>
      </x:c>
      <x:c r="I7" s="11" t="str">
        <x:v>Selection intentionally preserves the broken-UTD/UTE removal and replacement chain.</x:v>
      </x:c>
      <x:c r="J7" s="11" t="str">
        <x:v>turn235083view2</x:v>
      </x:c>
    </x:row>
  </x:sheetData>
  <x:conditionalFormatting sqref="C2:C7">
    <x:cfRule type="expression" dxfId="6" priority="1">
      <x:formula>C2="SUPPLIED_URL_404"</x:formula>
    </x:cfRule>
    <x:cfRule type="expression" dxfId="7" priority="2">
      <x:formula>C2="VERIFIED_PUBLIC_HISTORY"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6a381ab0c1461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4" max="4" width="42" hidden="0" customWidth="1"/>
    <x:col min="5" max="5" width="14" hidden="0" customWidth="1"/>
  </x:cols>
  <x:sheetData>
    <x:row r="1">
      <x:c r="A1" s="29" t="str">
        <x:v>Git Provenance Milestone Layer</x:v>
      </x:c>
      <x:c r="B1" s="11"/>
      <x:c r="C1" s="11"/>
      <x:c r="D1" s="11"/>
      <x:c r="E1" s="11"/>
      <x:c r="F1" s="11"/>
      <x:c r="G1" s="11"/>
      <x:c r="H1" s="11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>
      <x:c r="A3" s="26" t="str">
        <x:v>Metric</x:v>
      </x:c>
      <x:c r="B3" s="26" t="str">
        <x:v>Value</x:v>
      </x:c>
      <x:c r="C3" s="11"/>
      <x:c r="D3" s="26" t="str">
        <x:v>Repo</x:v>
      </x:c>
      <x:c r="E3" s="26" t="str">
        <x:v>Milestones</x:v>
      </x:c>
      <x:c r="F3" s="11"/>
      <x:c r="G3" s="11"/>
      <x:c r="H3" s="11"/>
    </x:row>
    <x:row r="4">
      <x:c r="A4" s="11" t="str">
        <x:v>Selected milestones</x:v>
      </x:c>
      <x:c r="B4" s="11" t="n">
        <x:f>COUNTA('Git Milestones'!A2:A46)</x:f>
        <x:v>45</x:v>
      </x:c>
      <x:c r="C4" s="11"/>
      <x:c r="D4" s="11" t="str">
        <x:v>VDM</x:v>
      </x:c>
      <x:c r="E4" s="11" t="n">
        <x:f>COUNTIF('Git Milestones'!B:B,D4)</x:f>
        <x:v>12</x:v>
      </x:c>
      <x:c r="F4" s="11"/>
      <x:c r="G4" s="11"/>
      <x:c r="H4" s="11"/>
    </x:row>
    <x:row r="5">
      <x:c r="A5" s="11" t="str">
        <x:v>Repositories with verified public history</x:v>
      </x:c>
      <x:c r="B5" s="11" t="n">
        <x:f>COUNTIF('Repo Summary'!C2:C7,"VERIFIED_PUBLIC_HISTORY")</x:f>
        <x:v>5</x:v>
      </x:c>
      <x:c r="C5" s="11"/>
      <x:c r="D5" s="11" t="str">
        <x:v>primitive_bifurcation_law_VDM</x:v>
      </x:c>
      <x:c r="E5" s="11" t="n">
        <x:f>COUNTIF('Git Milestones'!B:B,D5)</x:f>
        <x:v>3</x:v>
      </x:c>
      <x:c r="F5" s="11"/>
      <x:c r="G5" s="11"/>
      <x:c r="H5" s="11"/>
    </x:row>
    <x:row r="6">
      <x:c r="A6" s="11" t="str">
        <x:v>Repositories unresolved at supplied URL</x:v>
      </x:c>
      <x:c r="B6" s="11" t="n">
        <x:f>COUNTIF('Repo Summary'!C2:C7,"SUPPLIED_URL_404")</x:f>
        <x:v>1</x:v>
      </x:c>
      <x:c r="C6" s="11"/>
      <x:c r="D6" s="11" t="str">
        <x:v>Taoism-Mathematics-Research-Project-Internal</x:v>
      </x:c>
      <x:c r="E6" s="11" t="n">
        <x:f>COUNTIF('Git Milestones'!B:B,D6)</x:f>
        <x:v>11</x:v>
      </x:c>
      <x:c r="F6" s="11"/>
      <x:c r="G6" s="11"/>
      <x:c r="H6" s="11"/>
    </x:row>
    <x:row r="7">
      <x:c r="A7" s="11" t="str">
        <x:v>Commit-detail verified rows</x:v>
      </x:c>
      <x:c r="B7" s="11" t="n">
        <x:f>COUNTIF('Git Milestones'!I2:I46,"COMMIT-DETAIL-VERIFIED")</x:f>
        <x:v>42</x:v>
      </x:c>
      <x:c r="C7" s="11"/>
      <x:c r="D7" s="11" t="str">
        <x:v>phaseos</x:v>
      </x:c>
      <x:c r="E7" s="11" t="n">
        <x:f>COUNTIF('Git Milestones'!B:B,D7)</x:f>
        <x:v>0</x:v>
      </x:c>
      <x:c r="F7" s="11"/>
      <x:c r="G7" s="11"/>
      <x:c r="H7" s="11"/>
    </x:row>
    <x:row r="8">
      <x:c r="A8" s="11" t="str">
        <x:v>Correction/rejection/boundary milestones</x:v>
      </x:c>
      <x:c r="B8" s="11" t="n">
        <x:f>COUNTIF('Git Milestones'!H2:H46,"*CORRECTION*")+COUNTIF('Git Milestones'!H2:H46,"*REJECTION*")+COUNTIF('Git Milestones'!H2:H46,"BOUNDARY/AUDIT")</x:f>
        <x:v>1</x:v>
      </x:c>
      <x:c r="C8" s="11"/>
      <x:c r="D8" s="11" t="str">
        <x:v>cortex-engine</x:v>
      </x:c>
      <x:c r="E8" s="11" t="n">
        <x:f>COUNTIF('Git Milestones'!B:B,D8)</x:f>
        <x:v>9</x:v>
      </x:c>
      <x:c r="F8" s="11"/>
      <x:c r="G8" s="11"/>
      <x:c r="H8" s="11"/>
    </x:row>
    <x:row r="9">
      <x:c r="A9" s="11"/>
      <x:c r="B9" s="11"/>
      <x:c r="C9" s="11"/>
      <x:c r="D9" s="11" t="str">
        <x:v>vdm_rt</x:v>
      </x:c>
      <x:c r="E9" s="11" t="n">
        <x:f>COUNTIF('Git Milestones'!B:B,D9)</x:f>
        <x:v>10</x:v>
      </x:c>
      <x:c r="F9" s="11"/>
      <x:c r="G9" s="11"/>
      <x:c r="H9" s="11"/>
    </x:row>
    <x:row r="10">
      <x:c r="A10" s="11"/>
      <x:c r="B10" s="11"/>
      <x:c r="C10" s="11"/>
      <x:c r="D10" s="11"/>
      <x:c r="E10" s="11"/>
      <x:c r="F10" s="11"/>
      <x:c r="G10" s="11"/>
      <x:c r="H10" s="11"/>
    </x:row>
    <x:row r="11">
      <x:c r="A11" s="11"/>
      <x:c r="B11" s="11"/>
      <x:c r="C11" s="11"/>
      <x:c r="D11" s="11"/>
      <x:c r="E11" s="11"/>
      <x:c r="F11" s="11"/>
      <x:c r="G11" s="11"/>
      <x:c r="H11" s="11"/>
    </x:row>
    <x:row r="12">
      <x:c r="A12" s="11"/>
      <x:c r="B12" s="11"/>
      <x:c r="C12" s="11"/>
      <x:c r="D12" s="11"/>
      <x:c r="E12" s="11"/>
      <x:c r="F12" s="11"/>
      <x:c r="G12" s="11"/>
      <x:c r="H12" s="1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65bea41300c4508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0" hidden="0" customWidth="1"/>
    <x:col min="4" max="4" width="32" hidden="0" customWidth="1"/>
    <x:col min="5" max="5" width="30" hidden="0" customWidth="1"/>
    <x:col min="6" max="6" width="62" hidden="0" customWidth="1"/>
    <x:col min="7" max="7" width="28" hidden="0" customWidth="1"/>
    <x:col min="8" max="8" width="14" hidden="0" customWidth="1"/>
    <x:col min="9" max="9" width="55" hidden="0" customWidth="1"/>
    <x:col min="10" max="10" width="58" hidden="0" customWidth="1"/>
    <x:col min="11" max="11" width="58" hidden="0" customWidth="1"/>
  </x:cols>
  <x:sheetData>
    <x:row r="1">
      <x:c r="A1" s="37" t="str">
        <x:v>Method_ID</x:v>
      </x:c>
      <x:c r="B1" s="37" t="str">
        <x:v>Sequence</x:v>
      </x:c>
      <x:c r="C1" s="37" t="str">
        <x:v>Environment_or_Project</x:v>
      </x:c>
      <x:c r="D1" s="37" t="str">
        <x:v>Method_or_System</x:v>
      </x:c>
      <x:c r="E1" s="37" t="str">
        <x:v>Relationship</x:v>
      </x:c>
      <x:c r="F1" s="37" t="str">
        <x:v>What_Changed</x:v>
      </x:c>
      <x:c r="G1" s="37" t="str">
        <x:v>Provenance_Status</x:v>
      </x:c>
      <x:c r="H1" s="37" t="str">
        <x:v>Event_Date</x:v>
      </x:c>
      <x:c r="I1" s="37" t="str">
        <x:v>Git_or_Artifact_Link</x:v>
      </x:c>
      <x:c r="J1" s="37" t="str">
        <x:v>Downstream_Consequence</x:v>
      </x:c>
      <x:c r="K1" s="37" t="str">
        <x:v>Notes</x:v>
      </x:c>
    </x:row>
    <x:row r="2">
      <x:c r="A2" s="11" t="str">
        <x:v>METH-001</x:v>
      </x:c>
      <x:c r="B2" s="11" t="str">
        <x:v>1</x:v>
      </x:c>
      <x:c r="C2" s="11" t="str">
        <x:v>Taoism / Active-Study</x:v>
      </x:c>
      <x:c r="D2" s="11" t="str">
        <x:v>ORCHESTRA</x:v>
      </x:c>
      <x:c r="E2" s="11" t="str">
        <x:v>BUILT_AND_FORMALIZED_DURING</x:v>
      </x:c>
      <x:c r="F2" s="11" t="str">
        <x:v>ORCHESTRA was built during the Taoism / Active-Study period and began to be formalized as an explicit provenance-tracking research methodology, not merely an execution harness.</x:v>
      </x:c>
      <x:c r="G2" s="11" t="str">
        <x:v>USER-ATTESTED / DATE-UNRESOLVED</x:v>
      </x:c>
      <x:c r="H2" s="11" t="str"/>
      <x:c r="I2" s="11" t="str"/>
      <x:c r="J2" s="11" t="str">
        <x:v>Creates a methodological layer for recording research authority, provenance, audits, failures, derivation state, and research progression alongside the mathematics.</x:v>
      </x:c>
      <x:c r="K2" s="11" t="str">
        <x:v>Exact first ORCHESTRA commit/artifact date is intentionally left blank until matched to a concrete repository artifact or commit.</x:v>
      </x:c>
    </x:row>
    <x:row r="3">
      <x:c r="A3" s="11" t="str">
        <x:v>METH-003</x:v>
      </x:c>
      <x:c r="B3" s="11" t="str">
        <x:v>1.1</x:v>
      </x:c>
      <x:c r="C3" s="11" t="str">
        <x:v>ORCHESTRA</x:v>
      </x:c>
      <x:c r="D3" s="11" t="str">
        <x:v>ORCHESTRA Research Package Template</x:v>
      </x:c>
      <x:c r="E3" s="11" t="str">
        <x:v>CONCRETE_FORMALIZATION</x:v>
      </x:c>
      <x:c r="F3" s="11" t="str">
        <x:v>Canonical iterative research-evidence package template with package identity, semantic authority, stable claim IDs, burden/falsifier tracking, negative/unresolved findings, review custody, and immutable closeout.</x:v>
      </x:c>
      <x:c r="G3" s="11" t="str">
        <x:v>SOURCE-ARTIFACT / HASHED</x:v>
      </x:c>
      <x:c r="H3" s="11" t="str">
        <x:v>2026-08-04</x:v>
      </x:c>
      <x:c r="I3" s="11" t="str">
        <x:v>methodology/ORCHESTRA/source-artifacts/ORCHESTRA_RESEARCH_PACKAGE_TEMPLATE_v2.0_20260804/</x:v>
      </x:c>
      <x:c r="J3" s="11" t="str">
        <x:v>Provides concrete machine/file structure for the ORCHESTRA methodology.</x:v>
      </x:c>
      <x:c r="K3" s="11" t="str">
        <x:v>This is the earliest exact ORCHESTRA artifact in the currently supplied source set, not necessarily the first ORCHESTRA artifact historically.</x:v>
      </x:c>
    </x:row>
    <x:row r="4">
      <x:c r="A4" s="11" t="str">
        <x:v>METH-004</x:v>
      </x:c>
      <x:c r="B4" s="11" t="str">
        <x:v>1.2</x:v>
      </x:c>
      <x:c r="C4" s="11" t="str">
        <x:v>ORCHESTRA</x:v>
      </x:c>
      <x:c r="D4" s="11" t="str">
        <x:v>ORCHESTRA Publication Package Template</x:v>
      </x:c>
      <x:c r="E4" s="11" t="str">
        <x:v>RESEARCH_TO_PUBLICATION_CUSTODY</x:v>
      </x:c>
      <x:c r="F4" s="11" t="str">
        <x:v>Separates iterative research evidence from immutable reader-facing publication releases and requires exact source-package IDs and manifest SHA-256 lineage.</x:v>
      </x:c>
      <x:c r="G4" s="11" t="str">
        <x:v>SOURCE-ARTIFACT / HASHED</x:v>
      </x:c>
      <x:c r="H4" s="11" t="str">
        <x:v>2026-08-04</x:v>
      </x:c>
      <x:c r="I4" s="11" t="str">
        <x:v>methodology/ORCHESTRA/source-artifacts/ORCHESTRA_PUBLICATION_PACKAGE_TEMPLATE_v2.0_20260804/</x:v>
      </x:c>
      <x:c r="J4" s="11" t="str">
        <x:v>Formalizes publication as a downstream custody gate that does not rewrite upstream research.</x:v>
      </x:c>
      <x:c r="K4" s="11" t="str"/>
    </x:row>
    <x:row r="5">
      <x:c r="A5" s="11" t="str">
        <x:v>METH-005</x:v>
      </x:c>
      <x:c r="B5" s="11" t="str">
        <x:v>1.3</x:v>
      </x:c>
      <x:c r="C5" s="11" t="str">
        <x:v>ORCHESTRA / Standards</x:v>
      </x:c>
      <x:c r="D5" s="11" t="str">
        <x:v>Research and Evidence Standard v1.0.1</x:v>
      </x:c>
      <x:c r="E5" s="11" t="str">
        <x:v>GENERALIZES_METHOD</x:v>
      </x:c>
      <x:c r="F5" s="11" t="str">
        <x:v>Generalizes ORCHESTRA evidence discipline into a broader research/evidence standard while preserving source conflicts, negative findings, append-only lab history, proof faithfulness, and distinct research/publication closure gates.</x:v>
      </x:c>
      <x:c r="G5" s="11" t="str">
        <x:v>SOURCE-ARTIFACT / HASHED</x:v>
      </x:c>
      <x:c r="H5" s="11" t="str">
        <x:v>2026-08-21</x:v>
      </x:c>
      <x:c r="I5" s="11" t="str">
        <x:v>methodology/ORCHESTRA/source-artifacts/RESEARCH_AND_EVIDENCE_STANDARD_v1.0.1_20260821/</x:v>
      </x:c>
      <x:c r="J5" s="11" t="str">
        <x:v>Moves ORCHESTRA from package implementation toward a generalized research methodology.</x:v>
      </x:c>
      <x:c r="K5" s="11" t="str"/>
    </x:row>
    <x:row r="6">
      <x:c r="A6" s="11" t="str">
        <x:v>METH-006</x:v>
      </x:c>
      <x:c r="B6" s="11" t="str">
        <x:v>1.4</x:v>
      </x:c>
      <x:c r="C6" s="11" t="str">
        <x:v>ORCHESTRA</x:v>
      </x:c>
      <x:c r="D6" s="11" t="str">
        <x:v>Ancestor Custody Workflow Upgrade v1.0 / ORCHESTRA v2.1</x:v>
      </x:c>
      <x:c r="E6" s="11" t="str">
        <x:v>ADDS_EXACT_ANCESTRY_CUSTODY</x:v>
      </x:c>
      <x:c r="F6" s="11" t="str">
        <x:v>Adds exact ancestry, decisive-artifact custody, ancestor disposition, inherited lineage, and successor start-here frontier through ANCESTRY.json and CLOSEOUT.json.</x:v>
      </x:c>
      <x:c r="G6" s="11" t="str">
        <x:v>SOURCE-ARTIFACT / HASHED</x:v>
      </x:c>
      <x:c r="H6" s="11" t="str">
        <x:v>2026-08-26</x:v>
      </x:c>
      <x:c r="I6" s="11" t="str">
        <x:v>methodology/ORCHESTRA/source-artifacts/ANCESTOR_CUSTODY_WORKFLOW_UPGRADE_v1.0_20260826/</x:v>
      </x:c>
      <x:c r="J6" s="11" t="str">
        <x:v>Makes a closed package self-locating in the research graph and prevents successor archaeology from restarting at zero.</x:v>
      </x:c>
      <x:c r="K6" s="11" t="str"/>
    </x:row>
    <x:row r="7">
      <x:c r="A7" s="11" t="str">
        <x:v>METH-002</x:v>
      </x:c>
      <x:c r="B7" s="11" t="str">
        <x:v>2</x:v>
      </x:c>
      <x:c r="C7" s="11" t="str">
        <x:v>Post-ORCHESTRA methodology development</x:v>
      </x:c>
      <x:c r="D7" s="11" t="str">
        <x:v>Cairn</x:v>
      </x:c>
      <x:c r="E7" s="11" t="str">
        <x:v>FOLLOWS_ORCHESTRA</x:v>
      </x:c>
      <x:c r="F7" s="11" t="str">
        <x:v>Work on Cairn begins after ORCHESTRA, continuing the provenance/research-methodology lineage.</x:v>
      </x:c>
      <x:c r="G7" s="11" t="str">
        <x:v>USER-ATTESTED / DATE-UNRESOLVED</x:v>
      </x:c>
      <x:c r="H7" s="11" t="str"/>
      <x:c r="I7" s="11" t="str"/>
      <x:c r="J7" s="11" t="str">
        <x:v>Extends the methodology lineage beyond ORCHESTRA; exact functional relationship should be tied to Cairn's own repository/artifacts rather than inferred here.</x:v>
      </x:c>
      <x:c r="K7" s="11" t="str">
        <x:v>No Cairn repository or exact first artifact was asserted in the Git milestone pass, so this row preserves sequence without inventing a date or commit.</x:v>
      </x:c>
    </x:row>
  </x:sheetData>
  <x:conditionalFormatting sqref="G2:G3">
    <x:cfRule type="expression" dxfId="8" priority="1">
      <x:formula>ISNUMBER(SEARCH("DATE-UNRESOLVED",G2))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829d79c532c4cf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55" hidden="0" customWidth="1"/>
    <x:col min="4" max="4" width="66" hidden="0" customWidth="1"/>
    <x:col min="5" max="5" width="24" hidden="0" customWidth="1"/>
    <x:col min="6" max="6" width="24" hidden="0" customWidth="1"/>
    <x:col min="7" max="7" width="18" hidden="0" customWidth="1"/>
    <x:col min="8" max="8" width="55" hidden="0" customWidth="1"/>
    <x:col min="9" max="9" width="16" hidden="0" customWidth="1"/>
    <x:col min="10" max="10" width="58" hidden="0" customWidth="1"/>
    <x:col min="11" max="11" width="58" hidden="0" customWidth="1"/>
  </x:cols>
  <x:sheetData>
    <x:row r="1">
      <x:c r="A1" s="37" t="str">
        <x:v>Artifact_ID</x:v>
      </x:c>
      <x:c r="B1" s="37" t="str">
        <x:v>Source_Container</x:v>
      </x:c>
      <x:c r="C1" s="37" t="str">
        <x:v>Original_Path</x:v>
      </x:c>
      <x:c r="D1" s="37" t="str">
        <x:v>SHA256</x:v>
      </x:c>
      <x:c r="E1" s="37" t="str">
        <x:v>Classification</x:v>
      </x:c>
      <x:c r="F1" s="37" t="str">
        <x:v>Authority_Status</x:v>
      </x:c>
      <x:c r="G1" s="37" t="str">
        <x:v>Public_Inclusion</x:v>
      </x:c>
      <x:c r="H1" s="37" t="str">
        <x:v>Copied_Path</x:v>
      </x:c>
      <x:c r="I1" s="37" t="str">
        <x:v>Staleness_Risk</x:v>
      </x:c>
      <x:c r="J1" s="37" t="str">
        <x:v>Why_Keep</x:v>
      </x:c>
      <x:c r="K1" s="37" t="str">
        <x:v>Notes</x:v>
      </x:c>
    </x:row>
    <x:row r="2">
      <x:c r="A2" s="11" t="str">
        <x:v>SRC-ORCH-001</x:v>
      </x:c>
      <x:c r="B2" s="11" t="str">
        <x:v>CANONICAL_STANDARDS(1).zip</x:v>
      </x:c>
      <x:c r="C2" s="11" t="str">
        <x:v>Templates/ORCHESTRA_RESEARCH_PACKAGE_TEMPLATE_v2.0_20260804</x:v>
      </x:c>
      <x:c r="D2" s="11" t="str">
        <x:v>d669d2079a63a94f43857b1222fefaa0b022c86519c939a997858aa4947915fe</x:v>
      </x:c>
      <x:c r="E2" s="11" t="str">
        <x:v>METHODOLOGY_PACKAGE</x:v>
      </x:c>
      <x:c r="F2" s="11" t="str">
        <x:v>METHODOLOGY_SOURCE</x:v>
      </x:c>
      <x:c r="G2" s="11" t="str">
        <x:v>INCLUDED</x:v>
      </x:c>
      <x:c r="H2" s="11" t="str">
        <x:v>methodology/ORCHESTRA/source-artifacts/ORCHESTRA_RESEARCH_PACKAGE_TEMPLATE_v2.0_20260804/</x:v>
      </x:c>
      <x:c r="I2" s="11" t="str">
        <x:v>LOW</x:v>
      </x:c>
      <x:c r="J2" s="11" t="str">
        <x:v>Concrete ORCHESTRA/provenance methodology artifact with explicit package or standard version/date.</x:v>
      </x:c>
      <x:c r="K2" s="11" t="str">
        <x:v>SHA256 is deterministic tree-manifest hash for the copied package.</x:v>
      </x:c>
    </x:row>
    <x:row r="3">
      <x:c r="A3" s="11" t="str">
        <x:v>SRC-ORCH-002</x:v>
      </x:c>
      <x:c r="B3" s="11" t="str">
        <x:v>CANONICAL_STANDARDS(1).zip</x:v>
      </x:c>
      <x:c r="C3" s="11" t="str">
        <x:v>Templates/ORCHESTRA_PUBLICATION_PACKAGE_TEMPLATE_v2.0_20260804</x:v>
      </x:c>
      <x:c r="D3" s="11" t="str">
        <x:v>880014f789f4232b306f83dad1558f82fa19df9ffcfac7168fdb89a0675aa0e7</x:v>
      </x:c>
      <x:c r="E3" s="11" t="str">
        <x:v>METHODOLOGY_PACKAGE</x:v>
      </x:c>
      <x:c r="F3" s="11" t="str">
        <x:v>METHODOLOGY_SOURCE</x:v>
      </x:c>
      <x:c r="G3" s="11" t="str">
        <x:v>INCLUDED</x:v>
      </x:c>
      <x:c r="H3" s="11" t="str">
        <x:v>methodology/ORCHESTRA/source-artifacts/ORCHESTRA_PUBLICATION_PACKAGE_TEMPLATE_v2.0_20260804/</x:v>
      </x:c>
      <x:c r="I3" s="11" t="str">
        <x:v>LOW</x:v>
      </x:c>
      <x:c r="J3" s="11" t="str">
        <x:v>Concrete ORCHESTRA/provenance methodology artifact with explicit package or standard version/date.</x:v>
      </x:c>
      <x:c r="K3" s="11" t="str">
        <x:v>SHA256 is deterministic tree-manifest hash for the copied package.</x:v>
      </x:c>
    </x:row>
    <x:row r="4">
      <x:c r="A4" s="11" t="str">
        <x:v>SRC-ORCH-003</x:v>
      </x:c>
      <x:c r="B4" s="11" t="str">
        <x:v>CANONICAL_STANDARDS(1).zip</x:v>
      </x:c>
      <x:c r="C4" s="11" t="str">
        <x:v>Standards/RESEARCH_AND_EVIDENCE_STANDARD_v1.0.1_20260821</x:v>
      </x:c>
      <x:c r="D4" s="11" t="str">
        <x:v>ead6071e69929376f52061c3bdf17cfb7befaae25c1aa936b4474f09cd81a4f9</x:v>
      </x:c>
      <x:c r="E4" s="11" t="str">
        <x:v>METHODOLOGY_PACKAGE</x:v>
      </x:c>
      <x:c r="F4" s="11" t="str">
        <x:v>METHODOLOGY_SOURCE</x:v>
      </x:c>
      <x:c r="G4" s="11" t="str">
        <x:v>INCLUDED</x:v>
      </x:c>
      <x:c r="H4" s="11" t="str">
        <x:v>methodology/ORCHESTRA/source-artifacts/RESEARCH_AND_EVIDENCE_STANDARD_v1.0.1_20260821/</x:v>
      </x:c>
      <x:c r="I4" s="11" t="str">
        <x:v>LOW</x:v>
      </x:c>
      <x:c r="J4" s="11" t="str">
        <x:v>Concrete ORCHESTRA/provenance methodology artifact with explicit package or standard version/date.</x:v>
      </x:c>
      <x:c r="K4" s="11" t="str">
        <x:v>SHA256 is deterministic tree-manifest hash for the copied package.</x:v>
      </x:c>
    </x:row>
    <x:row r="5">
      <x:c r="A5" s="11" t="str">
        <x:v>SRC-ORCH-004</x:v>
      </x:c>
      <x:c r="B5" s="11" t="str">
        <x:v>CANONICAL_STANDARDS(1).zip</x:v>
      </x:c>
      <x:c r="C5" s="11" t="str">
        <x:v>Systems/ANCESTOR_CUSTODY_WORKFLOW_UPGRADE_v1.0_20260826</x:v>
      </x:c>
      <x:c r="D5" s="11" t="str">
        <x:v>70dcd1c006c8400579c329e55ead5477334e47a135338fd5bf1a3b1f71c6d2c4</x:v>
      </x:c>
      <x:c r="E5" s="11" t="str">
        <x:v>METHODOLOGY_PACKAGE</x:v>
      </x:c>
      <x:c r="F5" s="11" t="str">
        <x:v>METHODOLOGY_SOURCE</x:v>
      </x:c>
      <x:c r="G5" s="11" t="str">
        <x:v>INCLUDED</x:v>
      </x:c>
      <x:c r="H5" s="11" t="str">
        <x:v>methodology/ORCHESTRA/source-artifacts/ANCESTOR_CUSTODY_WORKFLOW_UPGRADE_v1.0_20260826/</x:v>
      </x:c>
      <x:c r="I5" s="11" t="str">
        <x:v>LOW</x:v>
      </x:c>
      <x:c r="J5" s="11" t="str">
        <x:v>Concrete ORCHESTRA/provenance methodology artifact with explicit package or standard version/date.</x:v>
      </x:c>
      <x:c r="K5" s="11" t="str">
        <x:v>SHA256 is deterministic tree-manifest hash for the copied package.</x:v>
      </x:c>
    </x:row>
    <x:row r="6">
      <x:c r="A6" s="11" t="str">
        <x:v>SRC-PC-001</x:v>
      </x:c>
      <x:c r="B6" s="11" t="str">
        <x:v>CANONICAL_STANDARDS(1).zip</x:v>
      </x:c>
      <x:c r="C6" s="11" t="str">
        <x:v>Standards/PHASE-CALCULUS-DERIVATION-STANDARDS.md</x:v>
      </x:c>
      <x:c r="D6" s="11" t="str">
        <x:v>2757afca2a33df1f5cfe14a6c6b818e8f10b3fcfe458fdd723a8e59e6ef643d0</x:v>
      </x:c>
      <x:c r="E6" s="11" t="str">
        <x:v>DERIVATION_STANDARD</x:v>
      </x:c>
      <x:c r="F6" s="11" t="str">
        <x:v>REVIEW_BEFORE_CANON</x:v>
      </x:c>
      <x:c r="G6" s="11" t="str">
        <x:v>HASH_ONLY</x:v>
      </x:c>
      <x:c r="H6" s="11" t="str"/>
      <x:c r="I6" s="11" t="str">
        <x:v>MEDIUM</x:v>
      </x:c>
      <x:c r="J6" s="11" t="str">
        <x:v>Strong source-location custody and no-provenance-amnesia rules; may contain internal paths and should be reviewed before public copying.</x:v>
      </x:c>
      <x:c r="K6" s="11" t="str">
        <x:v>Not copied into the public-ready tree; hash and source coordinate retained.</x:v>
      </x:c>
    </x:row>
    <x:row r="7">
      <x:c r="A7" s="11" t="str">
        <x:v>SRC-PC-002</x:v>
      </x:c>
      <x:c r="B7" s="11" t="str">
        <x:v>direct upload</x:v>
      </x:c>
      <x:c r="C7" s="11" t="str">
        <x:v>Capacity_Coordinated_Inverse_Seed_Law_Working_Note_v0.3(1).docx</x:v>
      </x:c>
      <x:c r="D7" s="11" t="str">
        <x:v>9150bed4a3f3b336b7c9cf6a6ee5457191080b6d959d52817c4210bfdb3e5024</x:v>
      </x:c>
      <x:c r="E7" s="11" t="str">
        <x:v>WORKING_NOTE</x:v>
      </x:c>
      <x:c r="F7" s="11" t="str">
        <x:v>WORKING_NOTE</x:v>
      </x:c>
      <x:c r="G7" s="11" t="str">
        <x:v>INCLUDED</x:v>
      </x:c>
      <x:c r="H7" s="11" t="str">
        <x:v>records/phase-calculus/Capacity_Coordinated_Inverse_Seed_Law_Working_Note_v0.3.docx</x:v>
      </x:c>
      <x:c r="I7" s="11" t="str">
        <x:v>MEDIUM</x:v>
      </x:c>
      <x:c r="J7" s="11" t="str">
        <x:v>Explicitly separates established construction law from open PRIT/totality claims and preserves withdrawal of v0.1 errors.</x:v>
      </x:c>
      <x:c r="K7" s="11" t="str">
        <x:v>Original DOCX copied unchanged.</x:v>
      </x:c>
    </x:row>
    <x:row r="8">
      <x:c r="A8" s="11" t="str">
        <x:v>SRC-CX-001</x:v>
      </x:c>
      <x:c r="B8" s="11" t="str">
        <x:v>direct upload</x:v>
      </x:c>
      <x:c r="C8" s="11" t="str">
        <x:v>CORTEX_ENGINE_RETAINED_BASELINE_20260726.md</x:v>
      </x:c>
      <x:c r="D8" s="11" t="str">
        <x:v>8b1e6b8511321db005f453749df284465a31f3b021ba4ef684cdf37cb082daa8</x:v>
      </x:c>
      <x:c r="E8" s="11" t="str">
        <x:v>DATED_BASELINE</x:v>
      </x:c>
      <x:c r="F8" s="11" t="str">
        <x:v>HISTORICAL_BASELINE</x:v>
      </x:c>
      <x:c r="G8" s="11" t="str">
        <x:v>INCLUDED</x:v>
      </x:c>
      <x:c r="H8" s="11" t="str">
        <x:v>records/cortex/CORTEX_ENGINE_RETAINED_BASELINE_20260726.md</x:v>
      </x:c>
      <x:c r="I8" s="11" t="str">
        <x:v>HIGH</x:v>
      </x:c>
      <x:c r="J8" s="11" t="str">
        <x:v>Dated integrated design baseline with explicit implementation boundary and external artifact hashes.</x:v>
      </x:c>
      <x:c r="K8" s="11" t="str">
        <x:v>Preserved as a 2026-07-26 snapshot; later Cortex work may supersede portions.</x:v>
      </x:c>
    </x:row>
    <x:row r="9">
      <x:c r="A9" s="11" t="str">
        <x:v>SRC-VLL-001</x:v>
      </x:c>
      <x:c r="B9" s="11" t="str">
        <x:v>VLL_Rung.zip</x:v>
      </x:c>
      <x:c r="C9" s="11" t="str">
        <x:v>VLL_Rung/VLL_Rung1_Mechanism_Decision_v0.3.md</x:v>
      </x:c>
      <x:c r="D9" s="11" t="str">
        <x:v>f2cef32273202d59218409b24699c9410b2a0e228eaf67accc6d2b0d228a5228</x:v>
      </x:c>
      <x:c r="E9" s="11" t="str">
        <x:v>CORRECTION_RECORD</x:v>
      </x:c>
      <x:c r="F9" s="11" t="str">
        <x:v>RESEARCH_EVIDENCE</x:v>
      </x:c>
      <x:c r="G9" s="11" t="str">
        <x:v>INCLUDED</x:v>
      </x:c>
      <x:c r="H9" s="11" t="str">
        <x:v>records/vll/VLL_Rung1_Mechanism_Decision_v0.3.md</x:v>
      </x:c>
      <x:c r="I9" s="11" t="str">
        <x:v>LOW</x:v>
      </x:c>
      <x:c r="J9" s="11" t="str">
        <x:v>Explicitly withdraws a silently assumed continuum-to-graph bridge and replaces it with a gated derivation plan.</x:v>
      </x:c>
      <x:c r="K9" s="11" t="str"/>
    </x:row>
    <x:row r="10">
      <x:c r="A10" s="11" t="str">
        <x:v>SRC-VLL-002</x:v>
      </x:c>
      <x:c r="B10" s="11" t="str">
        <x:v>VLL_Rung.zip</x:v>
      </x:c>
      <x:c r="C10" s="11" t="str">
        <x:v>VLL_Rung/vll_research_subfolder/rung0_runs/rung0_mcr_v1/RUN_LEDGER.json</x:v>
      </x:c>
      <x:c r="D10" s="11" t="str">
        <x:v>0f29a650a9703199e54aec5d1dac4a5a7ea17cb747ed279dfe601938d7ba602d</x:v>
      </x:c>
      <x:c r="E10" s="11" t="str">
        <x:v>RUN_PROVENANCE</x:v>
      </x:c>
      <x:c r="F10" s="11" t="str">
        <x:v>RESEARCH_EVIDENCE</x:v>
      </x:c>
      <x:c r="G10" s="11" t="str">
        <x:v>INCLUDED</x:v>
      </x:c>
      <x:c r="H10" s="11" t="str">
        <x:v>records/vll/rung0_mcr_v1/RUN_LEDGER.json</x:v>
      </x:c>
      <x:c r="I10" s="11" t="str">
        <x:v>LOW</x:v>
      </x:c>
      <x:c r="J10" s="11" t="str">
        <x:v>Machine-readable run plan/ledger/manifest preserving execution identity, source hashes, stages, and evidence custody.</x:v>
      </x:c>
      <x:c r="K10" s="11" t="str">
        <x:v>Historical local paths are retained as evidence coordinates.</x:v>
      </x:c>
    </x:row>
    <x:row r="11">
      <x:c r="A11" s="11" t="str">
        <x:v>SRC-VLL-003</x:v>
      </x:c>
      <x:c r="B11" s="11" t="str">
        <x:v>VLL_Rung.zip</x:v>
      </x:c>
      <x:c r="C11" s="11" t="str">
        <x:v>VLL_Rung/vll_research_subfolder/rung0_runs/rung0_mcr_v1/RUN_MANIFEST.json</x:v>
      </x:c>
      <x:c r="D11" s="11" t="str">
        <x:v>68146a19805662870bc2bd7249b2ff202499a4be660883c03b33404e0ef616e3</x:v>
      </x:c>
      <x:c r="E11" s="11" t="str">
        <x:v>RUN_PROVENANCE</x:v>
      </x:c>
      <x:c r="F11" s="11" t="str">
        <x:v>RESEARCH_EVIDENCE</x:v>
      </x:c>
      <x:c r="G11" s="11" t="str">
        <x:v>INCLUDED</x:v>
      </x:c>
      <x:c r="H11" s="11" t="str">
        <x:v>records/vll/rung0_mcr_v1/RUN_MANIFEST.json</x:v>
      </x:c>
      <x:c r="I11" s="11" t="str">
        <x:v>LOW</x:v>
      </x:c>
      <x:c r="J11" s="11" t="str">
        <x:v>Machine-readable run plan/ledger/manifest preserving execution identity, source hashes, stages, and evidence custody.</x:v>
      </x:c>
      <x:c r="K11" s="11" t="str">
        <x:v>Historical local paths are retained as evidence coordinates.</x:v>
      </x:c>
    </x:row>
    <x:row r="12">
      <x:c r="A12" s="11" t="str">
        <x:v>SRC-VLL-004</x:v>
      </x:c>
      <x:c r="B12" s="11" t="str">
        <x:v>VLL_Rung.zip</x:v>
      </x:c>
      <x:c r="C12" s="11" t="str">
        <x:v>VLL_Rung/vll_research_subfolder/rung0_runs/rung0_mcr_v1/provenance/PLAN.json</x:v>
      </x:c>
      <x:c r="D12" s="11" t="str">
        <x:v>86654cf2d3214acf09a7bc36d1bfde40e943e93104c1e4f98e2c1c74f00dffab</x:v>
      </x:c>
      <x:c r="E12" s="11" t="str">
        <x:v>RUN_PROVENANCE</x:v>
      </x:c>
      <x:c r="F12" s="11" t="str">
        <x:v>RESEARCH_EVIDENCE</x:v>
      </x:c>
      <x:c r="G12" s="11" t="str">
        <x:v>INCLUDED</x:v>
      </x:c>
      <x:c r="H12" s="11" t="str">
        <x:v>records/vll/rung0_mcr_v1/provenance/PLAN.json</x:v>
      </x:c>
      <x:c r="I12" s="11" t="str">
        <x:v>LOW</x:v>
      </x:c>
      <x:c r="J12" s="11" t="str">
        <x:v>Machine-readable run plan/ledger/manifest preserving execution identity, source hashes, stages, and evidence custody.</x:v>
      </x:c>
      <x:c r="K12" s="11" t="str">
        <x:v>Historical local paths are retained as evidence coordinates.</x:v>
      </x:c>
    </x:row>
    <x:row r="13">
      <x:c r="A13" s="11" t="str">
        <x:v>SRC-AC-001</x:v>
      </x:c>
      <x:c r="B13" s="11" t="str">
        <x:v>Analogistical-Constructivism.zip</x:v>
      </x:c>
      <x:c r="C13" s="11" t="str">
        <x:v>project-status.md</x:v>
      </x:c>
      <x:c r="D13" s="11" t="str">
        <x:v>41b6744d34e56e0267b38e09d5e0362abd06ed3334641a3bc6128f0b429996c9</x:v>
      </x:c>
      <x:c r="E13" s="11" t="str">
        <x:v>PROJECT_STATUS</x:v>
      </x:c>
      <x:c r="F13" s="11" t="str">
        <x:v>HISTORICAL_STATUS</x:v>
      </x:c>
      <x:c r="G13" s="11" t="str">
        <x:v>INCLUDED</x:v>
      </x:c>
      <x:c r="H13" s="11" t="str">
        <x:v>records/analogistical-constructivism/project-status.md</x:v>
      </x:c>
      <x:c r="I13" s="11" t="str">
        <x:v>HIGH</x:v>
      </x:c>
      <x:c r="J13" s="11" t="str">
        <x:v>Concise dated-era status boundary for an early-stage research framework.</x:v>
      </x:c>
      <x:c r="K13" s="11" t="str">
        <x:v>Included only as a status snapshot, not as current canon.</x:v>
      </x:c>
    </x:row>
    <x:row r="14">
      <x:c r="A14" s="11" t="str">
        <x:v>SRC-AC-002</x:v>
      </x:c>
      <x:c r="B14" s="11" t="str">
        <x:v>Analogistical-Constructivism.zip</x:v>
      </x:c>
      <x:c r="C14" s="11" t="str">
        <x:v>Analogistical-Constructivism-Deep-Research.md</x:v>
      </x:c>
      <x:c r="D14" s="11" t="str">
        <x:v>7d49868136d18c1adf5132d09d839975766947cda25fb55f0c4277fadb0031da</x:v>
      </x:c>
      <x:c r="E14" s="11" t="str">
        <x:v>RESEARCH_DRAFT</x:v>
      </x:c>
      <x:c r="F14" s="11" t="str">
        <x:v>REVIEW_REQUIRED</x:v>
      </x:c>
      <x:c r="G14" s="11" t="str">
        <x:v>HASH_ONLY</x:v>
      </x:c>
      <x:c r="H14" s="11" t="str"/>
      <x:c r="I14" s="11" t="str">
        <x:v>HIGH</x:v>
      </x:c>
      <x:c r="J14" s="11" t="str">
        <x:v>Potentially useful research provenance, but broad/private and not needed for the initial public provenance spine.</x:v>
      </x:c>
      <x:c r="K14" s="11" t="str">
        <x:v>Hash-only until intentionally reviewed for publication.</x:v>
      </x:c>
    </x:row>
    <x:row r="15">
      <x:c r="A15" s="11" t="str">
        <x:v>SRC-AC-003</x:v>
      </x:c>
      <x:c r="B15" s="11" t="str">
        <x:v>Analogistical-Constructivism.zip</x:v>
      </x:c>
      <x:c r="C15" s="11" t="str">
        <x:v>archive/AC_Research_Notes.txt</x:v>
      </x:c>
      <x:c r="D15" s="11" t="str">
        <x:v>8c2b92ebf45b0bbe8b85a3dbdfa39628dd07d1dbfbf44caf5b024f86b526af0a</x:v>
      </x:c>
      <x:c r="E15" s="11" t="str">
        <x:v>RESEARCH_ARCHIVE</x:v>
      </x:c>
      <x:c r="F15" s="11" t="str">
        <x:v>HISTORICAL_SOURCE</x:v>
      </x:c>
      <x:c r="G15" s="11" t="str">
        <x:v>HASH_ONLY</x:v>
      </x:c>
      <x:c r="H15" s="11" t="str"/>
      <x:c r="I15" s="11" t="str">
        <x:v>HIGH</x:v>
      </x:c>
      <x:c r="J15" s="11" t="str">
        <x:v>Preserves a repository snapshot and historical research notes.</x:v>
      </x:c>
      <x:c r="K15" s="11" t="str">
        <x:v>Hash-only; do not publish raw archive without deliberate review.</x:v>
      </x:c>
    </x:row>
    <x:row r="16">
      <x:c r="A16" s="11" t="str">
        <x:v>ARCHIVE-001</x:v>
      </x:c>
      <x:c r="B16" s="11" t="str">
        <x:v>CANONICAL_STANDARDS(1).zip</x:v>
      </x:c>
      <x:c r="C16" s="11" t="str">
        <x:v>CANONICAL_STANDARDS(1).zip</x:v>
      </x:c>
      <x:c r="D16" s="11" t="str">
        <x:v>b33074a89f9dd3de35f06b1f882505bf0f6725eaf4220ede75ca2bd8c32bdfcd</x:v>
      </x:c>
      <x:c r="E16" s="11" t="str">
        <x:v>SOURCE_ARCHIVE</x:v>
      </x:c>
      <x:c r="F16" s="11" t="str">
        <x:v>HASH_ANCHOR</x:v>
      </x:c>
      <x:c r="G16" s="11" t="str">
        <x:v>HASH_ONLY</x:v>
      </x:c>
      <x:c r="H16" s="11" t="str"/>
      <x:c r="I16" s="11" t="str">
        <x:v>UNKNOWN</x:v>
      </x:c>
      <x:c r="J16" s="11" t="str">
        <x:v>Anchors the exact private source bundle from which selected provenance artifacts were mined.</x:v>
      </x:c>
      <x:c r="K16" s="11" t="str">
        <x:v>Archive bytes are intentionally not included in the public-ready repository.</x:v>
      </x:c>
    </x:row>
    <x:row r="17">
      <x:c r="A17" s="11" t="str">
        <x:v>ARCHIVE-002</x:v>
      </x:c>
      <x:c r="B17" s="11" t="str">
        <x:v>VLL_Rung.zip</x:v>
      </x:c>
      <x:c r="C17" s="11" t="str">
        <x:v>VLL_Rung.zip</x:v>
      </x:c>
      <x:c r="D17" s="11" t="str">
        <x:v>cac59e792408450e5079c68e1fdd133d5422c64ebb1a18737bc521e7f45d6ad2</x:v>
      </x:c>
      <x:c r="E17" s="11" t="str">
        <x:v>SOURCE_ARCHIVE</x:v>
      </x:c>
      <x:c r="F17" s="11" t="str">
        <x:v>HASH_ANCHOR</x:v>
      </x:c>
      <x:c r="G17" s="11" t="str">
        <x:v>HASH_ONLY</x:v>
      </x:c>
      <x:c r="H17" s="11" t="str"/>
      <x:c r="I17" s="11" t="str">
        <x:v>UNKNOWN</x:v>
      </x:c>
      <x:c r="J17" s="11" t="str">
        <x:v>Anchors the exact private source bundle from which selected provenance artifacts were mined.</x:v>
      </x:c>
      <x:c r="K17" s="11" t="str">
        <x:v>Archive bytes are intentionally not included in the public-ready repository.</x:v>
      </x:c>
    </x:row>
    <x:row r="18">
      <x:c r="A18" s="11" t="str">
        <x:v>ARCHIVE-003</x:v>
      </x:c>
      <x:c r="B18" s="11" t="str">
        <x:v>Analogistical-Constructivism.zip</x:v>
      </x:c>
      <x:c r="C18" s="11" t="str">
        <x:v>Analogistical-Constructivism.zip</x:v>
      </x:c>
      <x:c r="D18" s="11" t="str">
        <x:v>6fff5b82b5de63634809d5511f9bd01552342faf9b2045b7243f9d4b1b1595d4</x:v>
      </x:c>
      <x:c r="E18" s="11" t="str">
        <x:v>SOURCE_ARCHIVE</x:v>
      </x:c>
      <x:c r="F18" s="11" t="str">
        <x:v>HASH_ANCHOR</x:v>
      </x:c>
      <x:c r="G18" s="11" t="str">
        <x:v>HASH_ONLY</x:v>
      </x:c>
      <x:c r="H18" s="11" t="str"/>
      <x:c r="I18" s="11" t="str">
        <x:v>UNKNOWN</x:v>
      </x:c>
      <x:c r="J18" s="11" t="str">
        <x:v>Anchors the exact private source bundle from which selected provenance artifacts were mined.</x:v>
      </x:c>
      <x:c r="K18" s="11" t="str">
        <x:v>Archive bytes are intentionally not included in the public-ready repository.</x:v>
      </x:c>
    </x:row>
  </x:sheetData>
  <x:conditionalFormatting sqref="G2:G18">
    <x:cfRule type="expression" dxfId="9" priority="1">
      <x:formula>G2="INCLUDED"</x:formula>
    </x:cfRule>
    <x:cfRule type="expression" dxfId="10" priority="2">
      <x:formula>G2="HASH_ONLY"</x:formula>
    </x:cfRule>
    <x:cfRule type="expression" dxfId="11" priority="3">
      <x:formula>G2="REVIEW_REQUIRED"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40" hidden="0" customWidth="1"/>
    <x:col min="4" max="4" width="52" hidden="0" customWidth="1"/>
    <x:col min="5" max="5" width="12" hidden="0" customWidth="1"/>
    <x:col min="6" max="6" width="62" hidden="0" customWidth="1"/>
    <x:col min="7" max="7" width="18" hidden="0" customWidth="1"/>
  </x:cols>
  <x:sheetData>
    <x:row r="1">
      <x:c r="A1" s="37" t="str">
        <x:v>Candidate_ID</x:v>
      </x:c>
      <x:c r="B1" s="37" t="str">
        <x:v>Source_Artifact_ID</x:v>
      </x:c>
      <x:c r="C1" s="37" t="str">
        <x:v>Candidate</x:v>
      </x:c>
      <x:c r="D1" s="37" t="str">
        <x:v>Action</x:v>
      </x:c>
      <x:c r="E1" s="37" t="str">
        <x:v>Priority</x:v>
      </x:c>
      <x:c r="F1" s="37" t="str">
        <x:v>Reason</x:v>
      </x:c>
      <x:c r="G1" s="37" t="str">
        <x:v>Current_State</x:v>
      </x:c>
    </x:row>
    <x:row r="2">
      <x:c r="A2" s="11" t="str">
        <x:v>CAND-001</x:v>
      </x:c>
      <x:c r="B2" s="11" t="str">
        <x:v>SRC-PC-001</x:v>
      </x:c>
      <x:c r="C2" s="11" t="str">
        <x:v>Phase Calculus derivation standards</x:v>
      </x:c>
      <x:c r="D2" s="11" t="str">
        <x:v>Review for a public custody-method excerpt or sanitized publication</x:v>
      </x:c>
      <x:c r="E2" s="11" t="str">
        <x:v>HIGH</x:v>
      </x:c>
      <x:c r="F2" s="11" t="str">
        <x:v>Contains strong path-first/no-provenance-amnesia methodology but also internal source paths.</x:v>
      </x:c>
      <x:c r="G2" s="11" t="str">
        <x:v>HASH_ONLY</x:v>
      </x:c>
    </x:row>
    <x:row r="3">
      <x:c r="A3" s="11" t="str">
        <x:v>CAND-002</x:v>
      </x:c>
      <x:c r="B3" s="11" t="str">
        <x:v>SRC-AC-002</x:v>
      </x:c>
      <x:c r="C3" s="11" t="str">
        <x:v>Analogistical Constructivism deep research draft</x:v>
      </x:c>
      <x:c r="D3" s="11" t="str">
        <x:v>Review before any public inclusion</x:v>
      </x:c>
      <x:c r="E3" s="11" t="str">
        <x:v>LOW</x:v>
      </x:c>
      <x:c r="F3" s="11" t="str">
        <x:v>Potential project provenance but not needed for the core Phase Calculus/ORCHESTRA spine.</x:v>
      </x:c>
      <x:c r="G3" s="11" t="str">
        <x:v>HASH_ONLY</x:v>
      </x:c>
    </x:row>
    <x:row r="4">
      <x:c r="A4" s="11" t="str">
        <x:v>CAND-003</x:v>
      </x:c>
      <x:c r="B4" s="11" t="str">
        <x:v>SRC-AC-003</x:v>
      </x:c>
      <x:c r="C4" s="11" t="str">
        <x:v>Analogistical Constructivism research archive</x:v>
      </x:c>
      <x:c r="D4" s="11" t="str">
        <x:v>Keep private hash anchor unless a specific lineage question requires it</x:v>
      </x:c>
      <x:c r="E4" s="11" t="str">
        <x:v>LOW</x:v>
      </x:c>
      <x:c r="F4" s="11" t="str">
        <x:v>Large historical source with uncertain public relevance.</x:v>
      </x:c>
      <x:c r="G4" s="11" t="str">
        <x:v>HASH_ONLY</x:v>
      </x:c>
    </x:row>
    <x:row r="5">
      <x:c r="A5" s="11" t="str">
        <x:v>CAND-004</x:v>
      </x:c>
      <x:c r="B5" s="11" t="str"/>
      <x:c r="C5" s="11" t="str">
        <x:v>Cairn first artifact / repository</x:v>
      </x:c>
      <x:c r="D5" s="11" t="str">
        <x:v>Locate exact first artifact and first major commits</x:v>
      </x:c>
      <x:c r="E5" s="11" t="str">
        <x:v>HIGH</x:v>
      </x:c>
      <x:c r="F5" s="11" t="str">
        <x:v>Sequence after ORCHESTRA is established, but exact artifact/Git custody is not yet attached.</x:v>
      </x:c>
      <x:c r="G5" s="11" t="str">
        <x:v>OPEN</x:v>
      </x:c>
    </x:row>
    <x:row r="6">
      <x:c r="A6" s="11" t="str">
        <x:v>CAND-005</x:v>
      </x:c>
      <x:c r="B6" s="11" t="str"/>
      <x:c r="C6" s="11" t="str">
        <x:v>ORCHESTRA earliest pre-v2.0 artifact</x:v>
      </x:c>
      <x:c r="D6" s="11" t="str">
        <x:v>Locate first ORCHESTRA implementation/formalization artifact in Taoism/Active-Study history</x:v>
      </x:c>
      <x:c r="E6" s="11" t="str">
        <x:v>HIGH</x:v>
      </x:c>
      <x:c r="F6" s="11" t="str">
        <x:v>v2.0 and v2.1 are concrete later artifacts; earliest genesis still needs exact coordinates.</x:v>
      </x:c>
      <x:c r="G6" s="11" t="str">
        <x:v>OPEN</x:v>
      </x:c>
    </x:row>
    <x:row r="7">
      <x:c r="A7" s="11" t="str">
        <x:v>CAND-006</x:v>
      </x:c>
      <x:c r="B7" s="11" t="str"/>
      <x:c r="C7" s="11" t="str">
        <x:v>PhaseOS Git history</x:v>
      </x:c>
      <x:c r="D7" s="11" t="str">
        <x:v>Recover public/private history or local git log</x:v>
      </x:c>
      <x:c r="E7" s="11" t="str">
        <x:v>MEDIUM</x:v>
      </x:c>
      <x:c r="F7" s="11" t="str">
        <x:v>Supplied public URL did not resolve in prior Git pass.</x:v>
      </x:c>
      <x:c r="G7" s="11" t="str">
        <x:v>OPEN</x:v>
      </x:c>
    </x:row>
  </x:sheetData>
  <x:pageMargins left="0.7" right="0.7" top="0.75" bottom="0.75" header="0.3" footer="0.3"/>
</x:worksheet>
</file>